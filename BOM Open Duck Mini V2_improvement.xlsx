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urse\Project1\"/>
    </mc:Choice>
  </mc:AlternateContent>
  <xr:revisionPtr revIDLastSave="0" documentId="13_ncr:1_{7146E64D-D48E-4171-9B78-F3D2F4F0F3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1" l="1"/>
</calcChain>
</file>

<file path=xl/sharedStrings.xml><?xml version="1.0" encoding="utf-8"?>
<sst xmlns="http://schemas.openxmlformats.org/spreadsheetml/2006/main" count="232" uniqueCount="181">
  <si>
    <t xml:space="preserve">Group </t>
    <phoneticPr fontId="6" type="noConversion"/>
  </si>
  <si>
    <t xml:space="preserve">Duck robot </t>
    <phoneticPr fontId="6" type="noConversion"/>
  </si>
  <si>
    <t>J.A,D.</t>
    <phoneticPr fontId="6" type="noConversion"/>
  </si>
  <si>
    <r>
      <t>Part(</t>
    </r>
    <r>
      <rPr>
        <b/>
        <sz val="10"/>
        <color theme="5"/>
        <rFont val="Arial"/>
        <family val="2"/>
      </rPr>
      <t>the yellow item is 0 cost , 
we remove or we have other replacement</t>
    </r>
    <r>
      <rPr>
        <b/>
        <sz val="10"/>
        <color theme="1"/>
        <rFont val="Arial"/>
        <family val="2"/>
      </rPr>
      <t>)</t>
    </r>
    <phoneticPr fontId="6" type="noConversion"/>
  </si>
  <si>
    <r>
      <rPr>
        <b/>
        <sz val="16"/>
        <color rgb="FF000000"/>
        <rFont val="Arial"/>
        <family val="2"/>
      </rPr>
      <t>link</t>
    </r>
    <r>
      <rPr>
        <b/>
        <sz val="16"/>
        <color rgb="FFFF0000"/>
        <rFont val="Arial"/>
        <family val="2"/>
      </rPr>
      <t>(focus on yellow one , and if there isnot any 
components,you can check on  blue link)</t>
    </r>
  </si>
  <si>
    <t>amount</t>
  </si>
  <si>
    <t>unit price (€)</t>
  </si>
  <si>
    <t>Estimated time</t>
  </si>
  <si>
    <t>Arrived or not</t>
  </si>
  <si>
    <t>Power</t>
  </si>
  <si>
    <t>18650 cell</t>
    <phoneticPr fontId="6" type="noConversion"/>
  </si>
  <si>
    <t>https://www.nkon.nl/fr/molicel-inr18650-p30b-3000mah-30a.html</t>
  </si>
  <si>
    <t>4-5 working days</t>
  </si>
  <si>
    <t>Not arrived</t>
  </si>
  <si>
    <t>https://akkula.fi/tuote/molicel-p28a-18650-li-ion-akkukenno-2800-mah-3_6v-ei-suojapiiria-flat-top/?srsltid=AfmBOop2zDxHL_J5muT2HL_mY6XA-q73nlYRmbXam2YeYXWtzdtJvdqT</t>
    <phoneticPr fontId="6" type="noConversion"/>
  </si>
  <si>
    <t>6,25€</t>
    <phoneticPr fontId="6" type="noConversion"/>
  </si>
  <si>
    <t>Departure next working day + 1-3 days for Matkahuolto</t>
  </si>
  <si>
    <t>18650 cell holder</t>
    <phoneticPr fontId="6" type="noConversion"/>
  </si>
  <si>
    <t>https://www.amazon.fr/CABLEPELADO-Support-pour-piles-MR18650/dp/B08YDTSML8?crid=1FQGXRKJFMOV2&amp;dib=eyJ2IjoiMSJ9.TV4wqos7VNMPmcjGomlUO_vmiXEZpKjjSuWS3_rrqibAFnkQYQKpa4VBFRfehLrxITOHpOzHuQxUltC8vvhoEC1A5sVy0-cH9Z85BsidGHCbTDDSyTSWOe3YXmWmIplvOjGJv0o9sg326VLqtgpdrgxlL38O2MbELjauaSCanScSXei5pzTlxXYTkOXb6AtGzA28L0bhSLgw4zm2S-hL1u-1BCCYw4BD_jOYlVqUNYwQlQFi4PFSvDAsmBAzrqdUf5F5DDvSvYKaMIjB4p8yvi9QdULiO4BFhP74vk2ajF_44P1rquB-6yadeoZIuRCk9-HYqsm-P8QhSlHepM41Kr0l8EXHw64z3ZEhy7ui2Pn3WwxCsQbWWQdY9PUivbCxrM3zkVjWyHoGv0eGjtzVcqnPXBUulfJ3iNdRAKbsLbm8Sl4mz_SoaAxxI0Dbahfr.8ZT5-PY7dowPF6ctSIxnT1YwNAi32-vvHosceSGszks&amp;dib_tag=se&amp;keywords=18650+cell+holder+2s&amp;qid=1738953830&amp;sprefix=18650+cell+holder+2s%2Caps%2C82&amp;sr=8-4</t>
    <phoneticPr fontId="6" type="noConversion"/>
  </si>
  <si>
    <t>12-14 days</t>
  </si>
  <si>
    <t>Arrived</t>
  </si>
  <si>
    <t>https://ampul.eu/fi/akkukotelot/3662-akkukotelo-4-18650-akulle-148v?gad_source=1&amp;gad_campaignid=18939078600&amp;gbraid=0AAAAADSG6LEULDwi5YPZqXrDlgsEaj-fY&amp;gclid=Cj0KCQjw267GBhCSARIsAOjVJ4GtsbujrsRyd8JOmOjH03kQ1VKjR3KW7beDLp6SFoETXJtkR1pFIrAaAp_WEALw_wcB</t>
    <phoneticPr fontId="6" type="noConversion"/>
  </si>
  <si>
    <t>3,90 €</t>
    <phoneticPr fontId="6" type="noConversion"/>
  </si>
  <si>
    <t>1-2 days</t>
  </si>
  <si>
    <t>2S BMS</t>
    <phoneticPr fontId="6" type="noConversion"/>
  </si>
  <si>
    <t>https://shorturl.at/OEXM1</t>
    <phoneticPr fontId="6" type="noConversion"/>
  </si>
  <si>
    <t>11-13 days</t>
  </si>
  <si>
    <t>https://www.fruugo.fi/2s-10a-74v-18650-litiumlaturin-suojalevy-bms-pcm-moudle-tasapainolla/p-116330269-244291156?language=fi&amp;ac=google&amp;asc=pmax&amp;gad_source=1&amp;gad_campaignid=17619618642&amp;gbraid=0AAAAADpXug1PGekaFO41p8ZwUB2oXKIgZ&amp;gclid=Cj0KCQjw267GBhCSARIsAOjVJ4EMwctXDhkYTWt9LYrphpOLVZwlO5oDsqTKUsy1PUL6dmkzeHSm3hYaAs6PEALw_wcB</t>
    <phoneticPr fontId="6" type="noConversion"/>
  </si>
  <si>
    <t>6,95</t>
    <phoneticPr fontId="6" type="noConversion"/>
  </si>
  <si>
    <t>15-21 days</t>
  </si>
  <si>
    <t>5V regulator</t>
    <phoneticPr fontId="6" type="noConversion"/>
  </si>
  <si>
    <t>https://www.alibaba.com/product-detail/HENGE-4A-6A-8A-12A-UBEC_1601260325461.html?spm=a2700.galleryofferlist.normal_offer.d_title.583313a0Qhx032</t>
  </si>
  <si>
    <t>Usually 4 days, but can be until 3 weeks</t>
  </si>
  <si>
    <t>https://fi.grandado.com/products/henge-8a-ubec-output-5v-6v-7-4v-6a-8a-max-12a-inport-7v-25-5v-2-6s-lipo-6-16-cell-ni-mh-input-switch-mode-bec-for-rc-helicopter?variant=UHJvZHVjdFZhcmlhbnQ6NzQ0ODAzNjEz&amp;gad_source=1&amp;gad_campaignid=17182705357&amp;gbraid=0AAAAACzJXPVsggvzHx_0Uo-zNjmK2ESNs&amp;gclid=Cj0KCQjw267GBhCSARIsAOjVJ4Hl5pNZpmSxoE50Vxh63p4peoV87QyYRrr2hf9p4qN7xhlpsPwDJ0waAtDKEALw_wcB</t>
    <phoneticPr fontId="6" type="noConversion"/>
  </si>
  <si>
    <t>5-15 days, 15-20 days for standard delivery</t>
  </si>
  <si>
    <t>Small power switch</t>
    <phoneticPr fontId="6" type="noConversion"/>
  </si>
  <si>
    <t>https://www.amazon.fr/dp/B0CH3JCQM5?psc=1&amp;ref=ppx_yo2ov_dt_b_product_details</t>
  </si>
  <si>
    <t>Not available</t>
  </si>
  <si>
    <t>https://www.partco.fi/en/electromechanics/switches/slide-switches/7284-kyt-liu19.html</t>
    <phoneticPr fontId="6" type="noConversion"/>
  </si>
  <si>
    <t>At least 7 needed, otherwise they don't deliver</t>
  </si>
  <si>
    <t>Different from needed</t>
  </si>
  <si>
    <t>usb-c charger</t>
    <phoneticPr fontId="6" type="noConversion"/>
  </si>
  <si>
    <t>https://www.amazon.fr/dp/B0BWTK7SVN?psc=1&amp;ref=ppx_yo2ov_dt_b_product_details</t>
  </si>
  <si>
    <t>jack have one as  if   hurry   we can use it  temperary</t>
    <phoneticPr fontId="6" type="noConversion"/>
  </si>
  <si>
    <t>Jack has one</t>
  </si>
  <si>
    <t>2.1mm barrel jack</t>
    <phoneticPr fontId="6" type="noConversion"/>
  </si>
  <si>
    <t>https://www.amazon.fr/AERZETIX-connecteur-Adaptateur-dalimentation-souder/dp/B07VQ6VFDN?crid=3C8K8WDD3RJG&amp;dib=eyJ2IjoiMSJ9.hgIm2nyW_ESFFYT4DeDzVPMJgl41D6LolNDvN9CDC4YWus941iYDFmZdH3g0Oj79TRAWxawfiyEkTKVVRiAZb3MBc1nqZwgmZzVgnudhuZN5D6eHOu6jMLftRZ7raJBkOF0koaUXMKwMOiAyci2wG1XZy666tBwEf8pbZ0evQYtES41VGX5w8lfEbeRrq21wnlUgc6Frvn0-lKYyLD957iRbRCRZ5sGr_axxWE6kcuNGOMb3FfE0TphONcgvaFBSQD5aQfqO1nBZZVbDK2RvGq8Fijfnme1mRJjhmKC2uQAjgPgw09svR_vRIAP5FEE2-D4q8a2PnJqZbVyRIsrSsL2_Z3lmxtYzHdf2yYBRknQvsrnj8MO1X-fnkU8snEkDC9dpADN7QT1sII68ypc636TUNFNyfFVOupgTFIFWY587NOwPEmRPCEtScDWGpRu5.qxB0eQgkLOSCB-G8qzovZ6S2yujDvuDkXC6106EpWgE&amp;dib_tag=se&amp;keywords=barrel%2Bjack%2B2.1%2Bmale&amp;nsdOptOutParam=true&amp;qid=1736100196&amp;sprefix=barrel%2Bjack%2B2.1%2Bmale%2Caps%2C89&amp;sr=8-24&amp;th=1</t>
  </si>
  <si>
    <t>https://www.mouser.fi/ProductDetail/Same-Sky/PP3-002A?qs=WyjlAZoYn51xCL5UiDz5Og%3D%3D</t>
    <phoneticPr fontId="6" type="noConversion"/>
  </si>
  <si>
    <t>1,12</t>
    <phoneticPr fontId="6" type="noConversion"/>
  </si>
  <si>
    <t>15 days</t>
  </si>
  <si>
    <t>XT15? XT30 ?</t>
    <phoneticPr fontId="6" type="noConversion"/>
  </si>
  <si>
    <t>https://www.amazon.fr/RUNCCI-connecteur-XT30Connecteurs-Batterie-connecteurs/dp/B07PC1YKVW?crid=2Y5VRS59F1HXK&amp;dib=eyJ2IjoiMSJ9.Lal-pyqjfgiknlqlAZPLcuqwS9vk0assSif2TUdOQIK3sBzj88-ctUGn37OsmmDQDKfFSAkrWFi7aZ1VsTClu3dXdoFbNtMRMn9mXXRGLys3vLhvUm05EfFoAJLd4POnW8JHQ3I7MkHG1pCCSnXwOgi7NNM15-XWWgF5zdjeQdgLgffqb9XYj9zD16009cthEUWGG0xuO7F5krXRA4CQ4moKNi2LsJ0cLLdayf32md1yekJ2T1w_tFzAuBkVzORrcF5VmhlReCUp-fchd3e-5F8UMPSVwYCMZFsi23XXS87A_ckX_haUSQW3a8rv8l_O6D8eptG_WsJSZRqGhlg2fkPivgSkbUJoyiDuLF-RoETsPHYE1CXPOVmobgTagAkrJP6SUOc2u9Pvir4AKFISe4Smf-XT7zlQH5ylqvyvx5YHkzm8KjEL5C7FTnU1IP1C.5cfUxDcmTd69d6Al06mMp6SfBuBExDUCkev-YdXiB-s&amp;dib_tag=se&amp;keywords=xt30+connectors&amp;qid=1738953871&amp;sprefix=xt30+connectors%2Caps%2C79&amp;sr=8-5</t>
    <phoneticPr fontId="6" type="noConversion"/>
  </si>
  <si>
    <t>8 days</t>
  </si>
  <si>
    <t>https://www.fruugo.fi/20-paria-xt30-liittimet-uros-ja-naarasliittimet-pistokkeet-40-osaisella-kutisteletkulla-rc-akulle/p-405482914-860043233?language=fi&amp;ac=google&amp;gad_source=1&amp;gad_campaignid=22736139519&amp;gbraid=0AAAAADpXug0r8E5MfJ-7Wh5SWXLqBYO5H&amp;gclid=Cj0KCQjw267GBhCSARIsAOjVJ4FJ_HtsdHGeD54MERxfHQ6V0re_pN0ge4gwHTDpmkmLUE0_tHsW2zYaAi0-EALw_wcB</t>
    <phoneticPr fontId="6" type="noConversion"/>
  </si>
  <si>
    <t>10.95 €</t>
    <phoneticPr fontId="6" type="noConversion"/>
  </si>
  <si>
    <t>13-21 days</t>
  </si>
  <si>
    <t>Servos, control and sensors</t>
    <phoneticPr fontId="6" type="noConversion"/>
  </si>
  <si>
    <t>IMU (BNO055)</t>
    <phoneticPr fontId="6" type="noConversion"/>
  </si>
  <si>
    <t>https://www.amazon.fr/gp/product/B017PEIGIG/ref=ox_sc_act_title_2?smid=AZ997SEAZ4L8C&amp;psc=1</t>
  </si>
  <si>
    <t>https://www.mouser.fi/ProductDetail/Adafruit/4646?qs=W%2FMpXkg%252BdQ4Msqspav40iw%3D%3D</t>
    <phoneticPr fontId="6" type="noConversion"/>
  </si>
  <si>
    <t>25,76</t>
    <phoneticPr fontId="6" type="noConversion"/>
  </si>
  <si>
    <t>1-4 days</t>
  </si>
  <si>
    <t>Raspberry pi zero 2w</t>
    <phoneticPr fontId="6" type="noConversion"/>
  </si>
  <si>
    <t>https://t.ly/M21v4</t>
  </si>
  <si>
    <t>https://www.partco.fi/en/raspberry-pi/raspberry-pi-zero/23529-rpi-zero-2w.html</t>
    <phoneticPr fontId="6" type="noConversion"/>
  </si>
  <si>
    <t>29,30 €</t>
    <phoneticPr fontId="6" type="noConversion"/>
  </si>
  <si>
    <t>2-3 days, needs a registration on website</t>
  </si>
  <si>
    <t>SD card</t>
  </si>
  <si>
    <t>https://www.amazon.fr/SanDisk-M%C3%A9moire-microSDHC-Adaptateur-homologu%C3%A9e/dp/B08GY9NYRM/257-3914705-5327951?pd_rd_w=CQzbr&amp;content-id=amzn1.sym.3dbb4249-7cc8-4963-a362-854c36cc0919&amp;pf_rd_p=3dbb4249-7cc8-4963-a362-854c36cc0919&amp;pf_rd_r=94YWNZSVVP860JDQFEFT&amp;pd_rd_wg=H5PiK&amp;pd_rd_r=6395add6-d125-46ec-a15d-2f0d5c3477c6&amp;pd_rd_i=B08GY9NYRM&amp;psc=1</t>
  </si>
  <si>
    <t>9-28 days</t>
  </si>
  <si>
    <t>Sandisk 64gb microsd kortti + sd-kortti adapteri 100mb class10 | Prisma.fi-verkkokauppa</t>
  </si>
  <si>
    <t>22,95 €</t>
    <phoneticPr fontId="6" type="noConversion"/>
  </si>
  <si>
    <t>2 hours</t>
  </si>
  <si>
    <t>Servo control board</t>
    <phoneticPr fontId="6" type="noConversion"/>
  </si>
  <si>
    <t>https://www.waveshare.com/bus-servo-adapter-a.htm</t>
  </si>
  <si>
    <t>long</t>
  </si>
  <si>
    <t>https://www.fruugo.fi/ohjelmoitava-servo-ohjain-raspberry-pi-arduino-ja-esp32-yhteensopiviin-projekteihin/p-396945123-847096009?language=fi&amp;ac=google&amp;gad_source=1&amp;gad_campaignid=22788303253&amp;gbraid=0AAAAADpXug2T0IcBU5gO-AyD89YGEIt_w&amp;gclid=Cj0KCQjw267GBhCSARIsAOjVJ4GhnFHkFpOuIVnMdm4XJrSD0F0NogRyqC-89qyeS9IsUyIpnygIw9UaAhkkEALw_wcB</t>
    <phoneticPr fontId="6" type="noConversion"/>
  </si>
  <si>
    <t>10,95</t>
    <phoneticPr fontId="6" type="noConversion"/>
  </si>
  <si>
    <t>15-25 days</t>
  </si>
  <si>
    <t>Feetech 7.4v STS 3215</t>
    <phoneticPr fontId="6" type="noConversion"/>
  </si>
  <si>
    <t>https://www.alibaba.com/product-detail/Robot-Servo-STS3215-7-4V-19kg_1600052037414.html?spm=a2700.galleryofferlist.normal_offer.d_title.26cb13a0on0spo</t>
  </si>
  <si>
    <t>25-28 days</t>
  </si>
  <si>
    <t>https://www.fruugo.fi/74v-sts3215-servos-for-so-arm100-robotic-arm-19kg-high-torque-intelligent-bus-servo-ttl-for-programming-with-fe-urt-1/p-415340897-876864230?language=en&amp;ac=google&amp;asc=pmax&amp;gad_source=1&amp;gad_campaignid=23012371628&amp;gbraid=0AAAAADpXug0WwSXBZ_JKNX9N-44-fP5cm&amp;gclid=Cj0KCQjwuKnGBhD5ARIsAD19RsZTRV4PORdOw-E4kYyJFddxtatQ74xv1y6LdBbH9vqlK7IIvkucYz4aAi0fEALw_wcB</t>
    <phoneticPr fontId="6" type="noConversion"/>
  </si>
  <si>
    <t>26,95</t>
    <phoneticPr fontId="6" type="noConversion"/>
  </si>
  <si>
    <t>15-22 days</t>
  </si>
  <si>
    <t>Feet contact switches (SS-10)</t>
    <phoneticPr fontId="6" type="noConversion"/>
  </si>
  <si>
    <t>https://fr.aliexpress.com/item/1005006164610609.html?spm=a2g0o.productlist.main.1.19a6fZtnfZtny3&amp;algo_pvid=9ffa2a45-e57e-441a-a3cf-06b457cbaf2b&amp;algo_exp_id=9ffa2a45-e57e-441a-a3cf-06b457cbaf2b-0&amp;pdp_npi=4%40dis%21EUR%210.38%210.38%21%21%212.78%212.79%21%40211b618e17360981497203094e3130%2112000036066614666%21sea%21FR%210%21ABX&amp;curPageLogUid=vntK1rNIPNfQ&amp;utparam-url=scene%3Asearch%7Cquery_from%3A</t>
  </si>
  <si>
    <t>https://www.mouser.fi/ProductDetail/Omron-Electronics/SS-10-3?qs=jlWqeHNmHbT2UZ5h2AQoUw%3D%3D</t>
    <phoneticPr fontId="6" type="noConversion"/>
  </si>
  <si>
    <t>2,48 €</t>
    <phoneticPr fontId="6" type="noConversion"/>
  </si>
  <si>
    <t>9,92</t>
    <phoneticPr fontId="6" type="noConversion"/>
  </si>
  <si>
    <t>9g servos</t>
    <phoneticPr fontId="6" type="noConversion"/>
  </si>
  <si>
    <t>https://www.amazon.fr/Miuzei-H%C3%A9licopt%C3%A8re-V%C3%A9hicules-Contr%C3%B4le-Mod%C3%A9lisme/dp/B0BBR4D8SZ?__mk_fr_FR=%C3%85M%C3%85%C5%BD%C3%95%C3%91&amp;crid=3GOG4ADJ8Z7U0&amp;dib=eyJ2IjoiMSJ9.EQrPXXOyBUWL1N6FVz_Zxt6tuBkEFh8DTmhL__hQ6I1XVOAHjwVZmN_p7-kmquyL8RwqI014yqmPK6CoTre3NgIHObUJ8XsZr4q3gRTxP--bMJTIPO2LZXEpPrQliLuKgkHLkzPbCnCUB1tx1u2oAuBnSkCSg_FJF4bvxmQekhanYlxgPu9K7Ooo3Y8Vfc8n42HKVEUT2m8FY7ayX7f2PG8KccBa5w9zmH8xshgAVpy4TKZ19dzhv-rKlj9c3fyyms9nJ2Q3l9Bg77TVdEL7QvfQQyT7XRBZYd0V2rG-hEk.fok8XY2DiiUs1ZtPCimiwEYhz9-YZQWVZy7JYc6d__0&amp;dib_tag=se&amp;keywords=9g%2Bservo&amp;qid=1720531385&amp;sbo=RZvfv%2F%2FHxDF%2BO5021pAnSA%3D%3D&amp;sprefix=9g%2Bservo%2Caps%2C79&amp;sr=8-5&amp;th=1</t>
  </si>
  <si>
    <t xml:space="preserve"> </t>
    <phoneticPr fontId="6" type="noConversion"/>
  </si>
  <si>
    <t>8-10 days</t>
  </si>
  <si>
    <t>https://kauppa.sintosen.com/product/1347/servo-sg90-9g?gad_source=1&amp;gad_campaignid=19791447013&amp;gbraid=0AAAAABxEgXjVS8hzkw7uRoOv-o9RdqSgI&amp;gclid=Cj0KCQjwuKnGBhD5ARIsAD19RsaRTREwd73wMhL_dVM1Ti2qS3-AKALySYA-NomvtiH75Ug69d75YFoaArPiEALw_wcB</t>
    <phoneticPr fontId="6" type="noConversion"/>
  </si>
  <si>
    <t xml:space="preserve"> 4,95 </t>
    <phoneticPr fontId="6" type="noConversion"/>
  </si>
  <si>
    <t>9,9</t>
    <phoneticPr fontId="6" type="noConversion"/>
  </si>
  <si>
    <t>fast</t>
  </si>
  <si>
    <t>MISC</t>
  </si>
  <si>
    <t>3D printing M3 inserts</t>
    <phoneticPr fontId="6" type="noConversion"/>
  </si>
  <si>
    <t>https://www.amazon.fr/dp/B09ZPF48VK?psc=1&amp;ref=ppx_yo2ov_dt_b_product_details</t>
  </si>
  <si>
    <t>9-26 days</t>
  </si>
  <si>
    <t xml:space="preserve">lack of avaible  store  for the shape  we need  </t>
    <phoneticPr fontId="6" type="noConversion"/>
  </si>
  <si>
    <t xml:space="preserve">    M3 rythex inserts</t>
  </si>
  <si>
    <t>https://www.an-cadsolutions.fi/tuote/ruthex-m3-lyhyet-insertit-rx-m3sx4-0-100kpl/</t>
  </si>
  <si>
    <t>9 €</t>
  </si>
  <si>
    <t>1 week maximum</t>
  </si>
  <si>
    <t xml:space="preserve">M3 rythex inserts  6mm </t>
  </si>
  <si>
    <t>https://www.an-cadsolutions.fi/tuote/ruthex-m3-insertti-rx-m3x5-7-100kpl/?gad_source=1&amp;gad_campaignid=17347555343&amp;gbraid=0AAAAAD_ZCOKlzjWwWC4E4w3VRRzHPFWQA&amp;gclid=Cj0KCQjw0NPGBhCDARIsAGAzpp3-IIDTjaUbk7xXe1BU8Rsln416P0U7Ek1Pkfsz6djb2GY7CzaOLFAaAmJ6EALw_wcB</t>
  </si>
  <si>
    <t>9.45 €</t>
  </si>
  <si>
    <t>No more than 8 available, 1 week max</t>
  </si>
  <si>
    <t>M3 rythen inserts 10 mm</t>
  </si>
  <si>
    <t>Cable sheath</t>
    <phoneticPr fontId="6" type="noConversion"/>
  </si>
  <si>
    <t>nornal things  available in our lab or workshop</t>
    <phoneticPr fontId="6" type="noConversion"/>
  </si>
  <si>
    <t>in lab or workshop</t>
  </si>
  <si>
    <t>https://www.amazon.fr/AmazonBasics-C%C3%A2ble-USB-C-vers-Micro/dp/B01LONQ7R6?crid=3V4LPXJVWFT3G&amp;dib=eyJ2IjoiMSJ9.E3rbFeiACwwDpkjt2e7yANPQavDbzxtmbGioSpfgWRAHwdyshKSY5tTklOw3nASkgNwXX1AHVeES97UwzqMa9NBnHR-7AAcMHva2b6gxhEBRqbwSUp0ssCzNHUVlz19sIWrA6cm1O-zfh0JxB81joJVy82cjjX3GYJSLRyqKA4lSD4LW6cWywsHKAEjaWhO2DVfOpQrSuGJyvodPZx0mMCgA5fFS0CQN9wRpeA-mvY-4zL1dy1KQD_fQyinaWPXfQiZP08F4iUTWAd8pvF0q4d1-W5bjne3qbxcU6gr1O4WsZ9r6z6VZW0z4Rbct7hdqajoRX9FduwwJ9B9diQRsO-8lfQmzfTrCAdYtj78OhLu4eWHtKMyYNC3v6-vh-kga5gO0KTyTClUhVQpiTxvmXPke28vgJPYFPtBapQSqJO9sNFXTbfHmQQWUDb9iq0aj.sZGjNKU6LufWKxZCKWFZAvBP5phS5seEsypN8hTiX2A&amp;dib_tag=se&amp;keywords=micro+usb+to+usb+c+short&amp;nsdOptOutParam=true&amp;qid=1736099878&amp;sprefix=micro+usb+to+usb+c+shor%2Caps%2C100&amp;sr=8-4</t>
  </si>
  <si>
    <t>11-13 days, and only for Prime</t>
  </si>
  <si>
    <t>15cm micro usb to usb-c cable</t>
  </si>
  <si>
    <t>https://cdon.fi/tuote/usb-c-to-micro-usb-kaapeli-dji-mavic-15cm-d9f07c1d5310478b/?gad_source=1&amp;gad_campaignid=20603743325&amp;gbraid=0AAAAACvPUErnM8zLKzoSzU7vIijw9eeKe&amp;gclid=Cj0KCQjw267GBhCSARIsAOjVJ4FxnKgCTBuQhyqBnHMCH94wCgIZxKytwqduJ-jmzn3P1fafSo2QVPgaAlAEEALw_wcB&amp;gclsrc=aw.ds</t>
    <phoneticPr fontId="6" type="noConversion"/>
  </si>
  <si>
    <t>7,99</t>
    <phoneticPr fontId="6" type="noConversion"/>
  </si>
  <si>
    <t>5-11 days</t>
  </si>
  <si>
    <t>https://www.amazon.fr/gp/product/B0BFWSP4PP/ref=ox_sc_act_title_2?smid=A1VSNBJQRMXLRM&amp;psc=1</t>
  </si>
  <si>
    <t>50cm micro usb to usb c cable</t>
    <phoneticPr fontId="6" type="noConversion"/>
  </si>
  <si>
    <t>https://www.atea.fi/eshop/product/startech-com-usb-c-to-micro-cable-0-5m-m-thunderbolt-3-compatible-cord-type-usb2cub50cm-kaapeli-24-pin-uros-b-2-50-cm-musta/?prodid=2307771</t>
    <phoneticPr fontId="6" type="noConversion"/>
  </si>
  <si>
    <t>1-5 days</t>
  </si>
  <si>
    <t>https://www.amazon.fr/dp/B0CXXSVFTV?ref=ppx_yo2ov_dt_b_fed_asin_title</t>
  </si>
  <si>
    <t>Bearing</t>
    <phoneticPr fontId="6" type="noConversion"/>
  </si>
  <si>
    <t>https://pyorapaja.fi/product/21503/laakeri-union-cb-132-6804-2rs-20x32x7?gad_source=1&amp;gad_campaignid=20992522006&amp;gbraid=0AAAAADNEmEvIaw6Vm__9-O-VlmMFp8qqR&amp;gclid=Cj0KCQjw267GBhCSARIsAOjVJ4F_YCG9wUKlD-GyeIDdGR4aIs9u_365quNBZKcxbKpv3XlcWwabU1MaAgFhEALw_wcB</t>
    <phoneticPr fontId="6" type="noConversion"/>
  </si>
  <si>
    <t>8,20</t>
    <phoneticPr fontId="6" type="noConversion"/>
  </si>
  <si>
    <t>24,60</t>
    <phoneticPr fontId="6" type="noConversion"/>
  </si>
  <si>
    <t>3-5 days</t>
  </si>
  <si>
    <t>https://www.digikey.fi/en/products/detail/raspberry-pi/SC0532/15294139?srsltid=AfmBOop-DaCA-nx3DMO2VOhHiFw3tngPPTTHL0xXkOARPXnb2mlfZ0XPnCI</t>
    <phoneticPr fontId="6" type="noConversion"/>
  </si>
  <si>
    <t>5 days</t>
  </si>
  <si>
    <t>Official Raspberry Pi Micro HDMI Cable</t>
    <phoneticPr fontId="6" type="noConversion"/>
  </si>
  <si>
    <t>" package"</t>
    <phoneticPr fontId="6" type="noConversion"/>
  </si>
  <si>
    <t>https://fr.aliexpress.com/item/1005004447866125.html?spm=a2g0o.order_list.order_list_main.16.6c435e5bt7BEbf&amp;gatewayAdapt=glo2fra</t>
  </si>
  <si>
    <t>29 days</t>
  </si>
  <si>
    <t>Projector reflector</t>
    <phoneticPr fontId="6" type="noConversion"/>
  </si>
  <si>
    <t>lack of avaible  store</t>
    <phoneticPr fontId="6" type="noConversion"/>
  </si>
  <si>
    <t>https://www.amazon.fr/gp/product/B086JH2BTD/ref=ppx_yo_dt_b_asin_title_o03_s00?ie=UTF8&amp;psc=1</t>
  </si>
  <si>
    <r>
      <t>Speaker</t>
    </r>
    <r>
      <rPr>
        <sz val="10"/>
        <color theme="0"/>
        <rFont val="Arial"/>
        <family val="2"/>
      </rPr>
      <t>(key part )</t>
    </r>
    <phoneticPr fontId="6" type="noConversion"/>
  </si>
  <si>
    <r>
      <t>lack of avaible  store</t>
    </r>
    <r>
      <rPr>
        <u/>
        <sz val="10"/>
        <color rgb="FF1155CC"/>
        <rFont val="宋体"/>
        <family val="2"/>
        <charset val="134"/>
      </rPr>
      <t>（</t>
    </r>
    <r>
      <rPr>
        <u/>
        <sz val="10"/>
        <color rgb="FF1155CC"/>
        <rFont val="Arial"/>
        <family val="2"/>
      </rPr>
      <t xml:space="preserve">have but different size and walt </t>
    </r>
    <r>
      <rPr>
        <u/>
        <sz val="10"/>
        <color rgb="FF1155CC"/>
        <rFont val="宋体"/>
        <family val="2"/>
        <charset val="134"/>
      </rPr>
      <t>）</t>
    </r>
    <phoneticPr fontId="6" type="noConversion"/>
  </si>
  <si>
    <t>https://www.amazon.fr/gp/product/B07C97WKHD/ref=ppx_yo_dt_b_asin_title_o02_s00?ie=UTF8&amp;th=1</t>
  </si>
  <si>
    <t>Leds (for eyes and projector)</t>
  </si>
  <si>
    <t xml:space="preserve">lack of avaible  store </t>
    <phoneticPr fontId="6" type="noConversion"/>
  </si>
  <si>
    <t>https://www.amazon.fr/gp/product/B06XNL2GBW/ref=ppx_yo_dt_b_asin_title_o01_s00?ie=UTF8&amp;psc=1</t>
  </si>
  <si>
    <t>13 days</t>
  </si>
  <si>
    <t>Microphone</t>
    <phoneticPr fontId="6" type="noConversion"/>
  </si>
  <si>
    <t>https://www.digikey.fi/fi/products/detail/adafruit-industries-llc/3421/6691114?gclsrc=aw.ds&amp;gad_source=1&amp;gad_campaignid=19551511633&amp;gbraid=0AAAAADrbLliDOFpucyHlFRiMegCobPLVZ&amp;gclid=Cj0KCQjw267GBhCSARIsAOjVJ4G4ibNLeM624x6uO7DWCjQHhS8DCD5X-tquumszMAM1Qlegf7WMKw8aAk-nEALw_wcB</t>
    <phoneticPr fontId="6" type="noConversion"/>
  </si>
  <si>
    <t>5,92 €</t>
    <phoneticPr fontId="6" type="noConversion"/>
  </si>
  <si>
    <t>https://www.amazon.fr/gp/product/B0C4H3PT7W/ref=ppx_yo_dt_b_asin_title_o03_s01?ie=UTF8&amp;th=1</t>
  </si>
  <si>
    <t>Eye diffusers</t>
  </si>
  <si>
    <t>https://www.amazon.fr/gp/product/B08SM2MR9Z/ref=ppx_yo_dt_b_asin_title_o01_s01?ie=UTF8&amp;psc=1</t>
  </si>
  <si>
    <t>Amplifier</t>
    <phoneticPr fontId="6" type="noConversion"/>
  </si>
  <si>
    <t>https://kauppa.sintosen.com/product/1950/?gad_source=1&amp;gad_campaignid=19791446356&amp;gbraid=0AAAAABxEgXhl_RGk4qfpq99Dffvz9hduO&amp;gclid=Cj0KCQjw267GBhCSARIsAOjVJ4HiDLbDIl4fIhkYFMa73Ep-KEuj64aimlg1-OrkKLZYYU4Fy5gM58kaAq-_EALw_wcB</t>
    <phoneticPr fontId="6" type="noConversion"/>
  </si>
  <si>
    <t xml:space="preserve"> 5,95 €</t>
    <phoneticPr fontId="6" type="noConversion"/>
  </si>
  <si>
    <t>Fast</t>
  </si>
  <si>
    <t>https://fr.aliexpress.com/item/32988983058.html?spm=a2g0o.productlist.main.1.74f04185pltTMU&amp;algo_pvid=d20803e2-ea4b-4f73-aa92-eeb734799015&amp;algo_exp_id=d20803e2-ea4b-4f73-aa92-eeb734799015-0&amp;pdp_ext_f=%7B%22order%22%3A%2255%22%2C%22eval%22%3A%221%22%7D&amp;pdp_npi=4%40dis%21EUR%214.82%214.79%21%21%215.08%215.05%21%402103890917436154411907621e95e8%2166896320728%21sea%21FR%210%21ABX&amp;curPageLogUid=z2ZhApw5TQB0&amp;utparam-url=scene%3Asearch%7Cquery_from%3A</t>
  </si>
  <si>
    <t>Raspberry pi camera</t>
    <phoneticPr fontId="6" type="noConversion"/>
  </si>
  <si>
    <t>https://www.fruugo.fi/zero-2w-kameralle-5mp-rpi-zero-camera-15-cm-ffc/p-388604443-833527585?language=fi&amp;ac=google&amp;gad_source=1&amp;gad_campaignid=22774112581&amp;gbraid=0AAAAADpXug0aCco2GSvD76xOd8cAfrb0G&amp;gclid=Cj0KCQjw267GBhCSARIsAOjVJ4EdTciPueASanBLC0htiaJoOjaJH5e8mRAp3OzqQcrNwkzeAzMP6UQaAj9tEALw_wcB</t>
    <phoneticPr fontId="6" type="noConversion"/>
  </si>
  <si>
    <t>7,95 €</t>
    <phoneticPr fontId="6" type="noConversion"/>
  </si>
  <si>
    <t>12-19 days</t>
  </si>
  <si>
    <t>https://thepihut.com/products/time-of-flight-camera-for-raspberry-pi?srsltid=AfmBOopMdgveaxG5NWTbR0hc3KtErme8p8d7pbp8ohiwpZn0qMYSKALu</t>
    <phoneticPr fontId="6" type="noConversion"/>
  </si>
  <si>
    <t>Raspberry pi TOF camera</t>
    <phoneticPr fontId="6" type="noConversion"/>
  </si>
  <si>
    <t>https://www.partco.fi/en/raspberry-pi/sbc-cameras/25727-rpi-tof-camera-module.html</t>
    <phoneticPr fontId="6" type="noConversion"/>
  </si>
  <si>
    <t xml:space="preserve">121,99 </t>
    <phoneticPr fontId="6" type="noConversion"/>
  </si>
  <si>
    <t>Additional must-have items not listed in the original BOM</t>
    <phoneticPr fontId="6" type="noConversion"/>
  </si>
  <si>
    <t>raspberry pi zero 2w camera adapter</t>
    <phoneticPr fontId="6" type="noConversion"/>
  </si>
  <si>
    <t>Xbox one conroller</t>
  </si>
  <si>
    <t xml:space="preserve">from our  workshop  lab (if have )  jack have the cabled one but doesnot work cause no any physical interface </t>
  </si>
  <si>
    <t>from lab available</t>
  </si>
  <si>
    <t xml:space="preserve">Soldering iron, solder, flux, etc.
</t>
  </si>
  <si>
    <t xml:space="preserve">from our  workshop  lab </t>
  </si>
  <si>
    <t>Hook-up wire for connections (I chose 28-AWG ultra-flexible silicone wire)</t>
    <phoneticPr fontId="6" type="noConversion"/>
  </si>
  <si>
    <t>Threadlocker (screw-locking adhesive)</t>
    <phoneticPr fontId="6" type="noConversion"/>
  </si>
  <si>
    <t xml:space="preserve">from our  workshop  lab </t>
    <phoneticPr fontId="6" type="noConversion"/>
  </si>
  <si>
    <t>Assorted M3 screws (4 mm, 6 mm, 10 mm)</t>
    <phoneticPr fontId="6" type="noConversion"/>
  </si>
  <si>
    <t>Heat-set insert iron tip (for installing heat-set threaded inserts)</t>
    <phoneticPr fontId="6" type="noConversion"/>
  </si>
  <si>
    <t xml:space="preserve">blue means the component only in amazen </t>
    <phoneticPr fontId="6" type="noConversion"/>
  </si>
  <si>
    <t>Threadlocker (screw-locking adhesive)</t>
  </si>
  <si>
    <t>4mm，6mm，10mm.    M3   number : 100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</si>
</sst>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6" formatCode="\$#,##0.00_);[Red]\(\$#,##0.00\)"/>
    <numFmt numFmtId="176" formatCode="#,##0.00\ [$€-1];[Red]\-#,##0.00\ [$€-1]"/>
  </numFmts>
  <fonts count="42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charset val="134"/>
      <scheme val="minor"/>
    </font>
    <font>
      <sz val="10"/>
      <color rgb="FFFF0000"/>
      <name val="Arial"/>
      <family val="2"/>
      <scheme val="minor"/>
    </font>
    <font>
      <u/>
      <sz val="8"/>
      <color theme="10"/>
      <name val="Arial"/>
      <family val="2"/>
      <scheme val="minor"/>
    </font>
    <font>
      <sz val="8"/>
      <color rgb="FF000000"/>
      <name val="Arial"/>
      <family val="2"/>
      <scheme val="minor"/>
    </font>
    <font>
      <u/>
      <sz val="6"/>
      <color theme="10"/>
      <name val="Arial"/>
      <family val="2"/>
      <scheme val="minor"/>
    </font>
    <font>
      <sz val="6"/>
      <color rgb="FF000000"/>
      <name val="Arial"/>
      <family val="2"/>
      <scheme val="minor"/>
    </font>
    <font>
      <u/>
      <sz val="4"/>
      <color theme="10"/>
      <name val="Arial"/>
      <family val="2"/>
      <scheme val="minor"/>
    </font>
    <font>
      <sz val="5"/>
      <color rgb="FF000000"/>
      <name val="Arial"/>
      <family val="2"/>
      <scheme val="minor"/>
    </font>
    <font>
      <u/>
      <sz val="5"/>
      <color theme="10"/>
      <name val="Arial"/>
      <family val="2"/>
      <scheme val="minor"/>
    </font>
    <font>
      <sz val="6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u/>
      <sz val="12"/>
      <color theme="9"/>
      <name val="Gg sans"/>
    </font>
    <font>
      <sz val="10"/>
      <color theme="9"/>
      <name val="Arial"/>
      <family val="2"/>
      <scheme val="minor"/>
    </font>
    <font>
      <u/>
      <sz val="10"/>
      <color theme="9"/>
      <name val="Arial"/>
      <family val="2"/>
      <scheme val="minor"/>
    </font>
    <font>
      <u/>
      <sz val="12"/>
      <color theme="9"/>
      <name val="Arial"/>
      <family val="2"/>
    </font>
    <font>
      <u/>
      <sz val="10"/>
      <color theme="9"/>
      <name val="Arial"/>
      <family val="2"/>
    </font>
    <font>
      <u/>
      <sz val="10"/>
      <color theme="4"/>
      <name val="Arial"/>
      <family val="2"/>
    </font>
    <font>
      <sz val="10"/>
      <color theme="4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charset val="134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0"/>
      <color rgb="FFFFFF00"/>
      <name val="Arial"/>
      <family val="2"/>
      <scheme val="minor"/>
    </font>
    <font>
      <sz val="10"/>
      <color rgb="FFFFFF00"/>
      <name val="Arial"/>
      <family val="2"/>
    </font>
    <font>
      <b/>
      <sz val="10"/>
      <color theme="5"/>
      <name val="Arial"/>
      <family val="2"/>
    </font>
    <font>
      <sz val="10"/>
      <color theme="0"/>
      <name val="Arial"/>
      <family val="2"/>
    </font>
    <font>
      <u/>
      <sz val="10"/>
      <color rgb="FF1155CC"/>
      <name val="宋体"/>
      <family val="2"/>
      <charset val="134"/>
    </font>
    <font>
      <b/>
      <sz val="16"/>
      <color rgb="FF000000"/>
      <name val="Arial"/>
      <family val="2"/>
    </font>
    <font>
      <b/>
      <sz val="16"/>
      <color rgb="FFFF0000"/>
      <name val="Arial"/>
      <family val="2"/>
    </font>
    <font>
      <sz val="10"/>
      <color theme="5"/>
      <name val="Arial"/>
      <family val="2"/>
      <scheme val="minor"/>
    </font>
    <font>
      <sz val="10"/>
      <color rgb="FF0D5ADB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sz val="10"/>
      <color theme="4" tint="-0.249977111117893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CE2FE"/>
        <bgColor indexed="64"/>
      </patternFill>
    </fill>
    <fill>
      <patternFill patternType="solid">
        <fgColor rgb="FFFFFF00"/>
        <bgColor rgb="FFA4C2F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6B26B"/>
      </patternFill>
    </fill>
    <fill>
      <patternFill patternType="solid">
        <fgColor rgb="FFFFFF00"/>
        <bgColor rgb="FF93C47D"/>
      </patternFill>
    </fill>
    <fill>
      <patternFill patternType="solid">
        <fgColor rgb="FFFFFF00"/>
        <bgColor rgb="FFFFD966"/>
      </patternFill>
    </fill>
    <fill>
      <patternFill patternType="solid">
        <fgColor theme="5"/>
        <bgColor rgb="FFA4C2F4"/>
      </patternFill>
    </fill>
    <fill>
      <patternFill patternType="solid">
        <fgColor rgb="FF00B0F0"/>
        <bgColor rgb="FFF6B26B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rgb="FFF6B26B"/>
      </patternFill>
    </fill>
    <fill>
      <patternFill patternType="solid">
        <fgColor theme="4"/>
        <bgColor rgb="FF93C47D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rgb="FF93C47D"/>
      </patternFill>
    </fill>
    <fill>
      <patternFill patternType="solid">
        <fgColor rgb="FFFF0000"/>
        <bgColor rgb="FFFFD966"/>
      </patternFill>
    </fill>
    <fill>
      <patternFill patternType="solid">
        <fgColor rgb="FFFF0000"/>
        <bgColor rgb="FFA4C2F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rgb="FF93C47D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A4C2F4"/>
      </patternFill>
    </fill>
    <fill>
      <patternFill patternType="solid">
        <fgColor rgb="FFFFC000"/>
        <bgColor rgb="FFF6B26B"/>
      </patternFill>
    </fill>
    <fill>
      <patternFill patternType="solid">
        <fgColor rgb="FFFFC000"/>
        <bgColor rgb="FF93C47D"/>
      </patternFill>
    </fill>
    <fill>
      <patternFill patternType="solid">
        <fgColor rgb="FFFFC000"/>
        <bgColor rgb="FFB4A7D6"/>
      </patternFill>
    </fill>
    <fill>
      <patternFill patternType="solid">
        <fgColor rgb="FFFFC000"/>
        <bgColor rgb="FFFFD966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EE0E3"/>
      </left>
      <right/>
      <top style="thin">
        <color rgb="FFDEE0E3"/>
      </top>
      <bottom/>
      <diagonal/>
    </border>
    <border>
      <left style="thin">
        <color rgb="FFDEE0E3"/>
      </left>
      <right/>
      <top/>
      <bottom/>
      <diagonal/>
    </border>
    <border>
      <left style="thin">
        <color rgb="FFDEE0E3"/>
      </left>
      <right/>
      <top/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8">
    <xf numFmtId="0" fontId="0" fillId="0" borderId="0" xfId="0"/>
    <xf numFmtId="0" fontId="3" fillId="5" borderId="0" xfId="0" applyFont="1" applyFill="1"/>
    <xf numFmtId="0" fontId="5" fillId="0" borderId="0" xfId="0" applyFont="1"/>
    <xf numFmtId="0" fontId="4" fillId="7" borderId="0" xfId="1" applyFill="1"/>
    <xf numFmtId="0" fontId="0" fillId="8" borderId="0" xfId="0" applyFill="1"/>
    <xf numFmtId="0" fontId="4" fillId="9" borderId="0" xfId="1" applyFill="1"/>
    <xf numFmtId="0" fontId="4" fillId="10" borderId="0" xfId="1" applyFill="1"/>
    <xf numFmtId="0" fontId="4" fillId="11" borderId="0" xfId="1" applyFill="1"/>
    <xf numFmtId="0" fontId="12" fillId="8" borderId="0" xfId="0" applyFont="1" applyFill="1"/>
    <xf numFmtId="0" fontId="11" fillId="11" borderId="0" xfId="1" applyFont="1" applyFill="1"/>
    <xf numFmtId="0" fontId="13" fillId="9" borderId="0" xfId="1" applyFont="1" applyFill="1"/>
    <xf numFmtId="0" fontId="14" fillId="8" borderId="0" xfId="0" applyFont="1" applyFill="1"/>
    <xf numFmtId="0" fontId="13" fillId="7" borderId="0" xfId="1" applyFont="1" applyFill="1"/>
    <xf numFmtId="0" fontId="16" fillId="8" borderId="0" xfId="0" applyFont="1" applyFill="1"/>
    <xf numFmtId="0" fontId="17" fillId="7" borderId="0" xfId="1" applyFont="1" applyFill="1"/>
    <xf numFmtId="0" fontId="18" fillId="8" borderId="0" xfId="0" applyFont="1" applyFill="1"/>
    <xf numFmtId="0" fontId="7" fillId="10" borderId="0" xfId="0" applyFont="1" applyFill="1"/>
    <xf numFmtId="0" fontId="2" fillId="7" borderId="0" xfId="0" applyFont="1" applyFill="1"/>
    <xf numFmtId="0" fontId="14" fillId="0" borderId="0" xfId="0" applyFont="1"/>
    <xf numFmtId="0" fontId="13" fillId="5" borderId="0" xfId="1" applyFont="1" applyFill="1"/>
    <xf numFmtId="0" fontId="20" fillId="2" borderId="0" xfId="0" applyFont="1" applyFill="1"/>
    <xf numFmtId="0" fontId="21" fillId="0" borderId="0" xfId="0" applyFont="1"/>
    <xf numFmtId="0" fontId="22" fillId="2" borderId="0" xfId="1" applyFont="1" applyFill="1"/>
    <xf numFmtId="0" fontId="23" fillId="2" borderId="0" xfId="0" applyFont="1" applyFill="1"/>
    <xf numFmtId="0" fontId="24" fillId="2" borderId="0" xfId="0" applyFont="1" applyFill="1"/>
    <xf numFmtId="0" fontId="20" fillId="13" borderId="0" xfId="0" applyFont="1" applyFill="1"/>
    <xf numFmtId="0" fontId="21" fillId="14" borderId="0" xfId="0" applyFont="1" applyFill="1"/>
    <xf numFmtId="0" fontId="24" fillId="13" borderId="0" xfId="0" applyFont="1" applyFill="1"/>
    <xf numFmtId="0" fontId="0" fillId="17" borderId="0" xfId="0" applyFill="1"/>
    <xf numFmtId="0" fontId="21" fillId="17" borderId="0" xfId="0" applyFont="1" applyFill="1"/>
    <xf numFmtId="0" fontId="24" fillId="16" borderId="0" xfId="0" applyFont="1" applyFill="1"/>
    <xf numFmtId="0" fontId="21" fillId="8" borderId="0" xfId="0" applyFont="1" applyFill="1"/>
    <xf numFmtId="0" fontId="25" fillId="5" borderId="0" xfId="0" applyFont="1" applyFill="1"/>
    <xf numFmtId="0" fontId="26" fillId="0" borderId="0" xfId="0" applyFont="1"/>
    <xf numFmtId="0" fontId="2" fillId="5" borderId="0" xfId="0" applyFont="1" applyFill="1"/>
    <xf numFmtId="0" fontId="2" fillId="11" borderId="0" xfId="0" applyFont="1" applyFill="1"/>
    <xf numFmtId="0" fontId="15" fillId="0" borderId="0" xfId="1" applyFont="1"/>
    <xf numFmtId="0" fontId="0" fillId="23" borderId="0" xfId="0" applyFill="1"/>
    <xf numFmtId="0" fontId="19" fillId="24" borderId="1" xfId="0" applyFont="1" applyFill="1" applyBorder="1" applyAlignment="1">
      <alignment horizontal="center" vertical="center"/>
    </xf>
    <xf numFmtId="0" fontId="19" fillId="24" borderId="1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30" fillId="25" borderId="1" xfId="0" applyFont="1" applyFill="1" applyBorder="1" applyAlignment="1">
      <alignment horizontal="center"/>
    </xf>
    <xf numFmtId="0" fontId="19" fillId="25" borderId="1" xfId="0" applyFont="1" applyFill="1" applyBorder="1" applyAlignment="1">
      <alignment horizontal="center"/>
    </xf>
    <xf numFmtId="0" fontId="30" fillId="26" borderId="1" xfId="0" applyFont="1" applyFill="1" applyBorder="1" applyAlignment="1">
      <alignment horizontal="center"/>
    </xf>
    <xf numFmtId="0" fontId="10" fillId="24" borderId="0" xfId="0" applyFont="1" applyFill="1"/>
    <xf numFmtId="0" fontId="19" fillId="26" borderId="1" xfId="0" applyFont="1" applyFill="1" applyBorder="1" applyAlignment="1">
      <alignment horizontal="center"/>
    </xf>
    <xf numFmtId="0" fontId="30" fillId="27" borderId="1" xfId="0" applyFont="1" applyFill="1" applyBorder="1" applyAlignment="1">
      <alignment horizontal="center"/>
    </xf>
    <xf numFmtId="0" fontId="19" fillId="27" borderId="1" xfId="0" applyFont="1" applyFill="1" applyBorder="1" applyAlignment="1">
      <alignment horizontal="center"/>
    </xf>
    <xf numFmtId="0" fontId="30" fillId="29" borderId="1" xfId="0" applyFont="1" applyFill="1" applyBorder="1" applyAlignment="1">
      <alignment horizontal="center"/>
    </xf>
    <xf numFmtId="0" fontId="19" fillId="29" borderId="1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0" fillId="30" borderId="0" xfId="0" applyFill="1"/>
    <xf numFmtId="0" fontId="21" fillId="30" borderId="0" xfId="0" applyFont="1" applyFill="1"/>
    <xf numFmtId="0" fontId="14" fillId="30" borderId="0" xfId="0" applyFont="1" applyFill="1"/>
    <xf numFmtId="0" fontId="12" fillId="30" borderId="0" xfId="0" applyFont="1" applyFill="1"/>
    <xf numFmtId="0" fontId="16" fillId="30" borderId="0" xfId="0" applyFont="1" applyFill="1"/>
    <xf numFmtId="0" fontId="18" fillId="30" borderId="0" xfId="0" applyFont="1" applyFill="1"/>
    <xf numFmtId="0" fontId="26" fillId="30" borderId="0" xfId="0" applyFont="1" applyFill="1"/>
    <xf numFmtId="0" fontId="5" fillId="6" borderId="5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18" borderId="1" xfId="0" applyFont="1" applyFill="1" applyBorder="1" applyAlignment="1">
      <alignment vertical="center"/>
    </xf>
    <xf numFmtId="0" fontId="8" fillId="21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9" fillId="24" borderId="7" xfId="0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30" fillId="25" borderId="7" xfId="0" applyFont="1" applyFill="1" applyBorder="1" applyAlignment="1">
      <alignment horizontal="center"/>
    </xf>
    <xf numFmtId="0" fontId="19" fillId="25" borderId="7" xfId="0" applyFont="1" applyFill="1" applyBorder="1" applyAlignment="1">
      <alignment horizontal="center"/>
    </xf>
    <xf numFmtId="176" fontId="19" fillId="25" borderId="7" xfId="0" applyNumberFormat="1" applyFont="1" applyFill="1" applyBorder="1" applyAlignment="1">
      <alignment horizontal="center"/>
    </xf>
    <xf numFmtId="0" fontId="30" fillId="26" borderId="7" xfId="0" applyFont="1" applyFill="1" applyBorder="1" applyAlignment="1">
      <alignment horizontal="center"/>
    </xf>
    <xf numFmtId="0" fontId="19" fillId="26" borderId="7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27" borderId="7" xfId="0" applyFont="1" applyFill="1" applyBorder="1" applyAlignment="1">
      <alignment horizontal="center"/>
    </xf>
    <xf numFmtId="0" fontId="19" fillId="27" borderId="7" xfId="0" applyFont="1" applyFill="1" applyBorder="1" applyAlignment="1">
      <alignment horizontal="center"/>
    </xf>
    <xf numFmtId="0" fontId="19" fillId="28" borderId="7" xfId="0" applyFont="1" applyFill="1" applyBorder="1" applyAlignment="1">
      <alignment horizontal="center"/>
    </xf>
    <xf numFmtId="0" fontId="19" fillId="24" borderId="7" xfId="0" applyFont="1" applyFill="1" applyBorder="1" applyAlignment="1">
      <alignment horizontal="center" vertical="center"/>
    </xf>
    <xf numFmtId="0" fontId="30" fillId="29" borderId="7" xfId="0" applyFont="1" applyFill="1" applyBorder="1" applyAlignment="1">
      <alignment horizontal="center"/>
    </xf>
    <xf numFmtId="0" fontId="19" fillId="29" borderId="7" xfId="0" applyFont="1" applyFill="1" applyBorder="1" applyAlignment="1">
      <alignment horizontal="center"/>
    </xf>
    <xf numFmtId="26" fontId="19" fillId="29" borderId="7" xfId="0" applyNumberFormat="1" applyFont="1" applyFill="1" applyBorder="1" applyAlignment="1">
      <alignment horizontal="center"/>
    </xf>
    <xf numFmtId="0" fontId="30" fillId="25" borderId="7" xfId="0" applyFont="1" applyFill="1" applyBorder="1" applyAlignment="1">
      <alignment horizontal="center" vertical="center"/>
    </xf>
    <xf numFmtId="0" fontId="19" fillId="25" borderId="7" xfId="0" applyFont="1" applyFill="1" applyBorder="1" applyAlignment="1">
      <alignment horizontal="center" vertical="center"/>
    </xf>
    <xf numFmtId="0" fontId="30" fillId="26" borderId="7" xfId="0" applyFont="1" applyFill="1" applyBorder="1" applyAlignment="1">
      <alignment horizontal="center" vertical="center"/>
    </xf>
    <xf numFmtId="0" fontId="19" fillId="26" borderId="7" xfId="0" applyFont="1" applyFill="1" applyBorder="1" applyAlignment="1">
      <alignment horizontal="center" vertical="center"/>
    </xf>
    <xf numFmtId="0" fontId="30" fillId="16" borderId="7" xfId="0" applyFont="1" applyFill="1" applyBorder="1" applyAlignment="1">
      <alignment horizontal="center" vertical="center"/>
    </xf>
    <xf numFmtId="0" fontId="19" fillId="27" borderId="7" xfId="0" applyFont="1" applyFill="1" applyBorder="1" applyAlignment="1">
      <alignment horizontal="center" vertical="center"/>
    </xf>
    <xf numFmtId="26" fontId="19" fillId="29" borderId="7" xfId="0" applyNumberFormat="1" applyFont="1" applyFill="1" applyBorder="1" applyAlignment="1">
      <alignment horizontal="center" vertical="center"/>
    </xf>
    <xf numFmtId="0" fontId="19" fillId="29" borderId="7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0" xfId="0" applyFont="1"/>
    <xf numFmtId="0" fontId="2" fillId="4" borderId="0" xfId="0" applyFont="1" applyFill="1"/>
    <xf numFmtId="0" fontId="37" fillId="0" borderId="6" xfId="0" applyFont="1" applyBorder="1" applyAlignment="1">
      <alignment wrapText="1"/>
    </xf>
    <xf numFmtId="0" fontId="4" fillId="8" borderId="0" xfId="1" applyFill="1"/>
    <xf numFmtId="0" fontId="30" fillId="24" borderId="1" xfId="0" applyFont="1" applyFill="1" applyBorder="1" applyAlignment="1">
      <alignment horizontal="center"/>
    </xf>
    <xf numFmtId="0" fontId="19" fillId="17" borderId="7" xfId="0" applyFont="1" applyFill="1" applyBorder="1" applyAlignment="1">
      <alignment horizontal="center"/>
    </xf>
    <xf numFmtId="0" fontId="0" fillId="21" borderId="1" xfId="0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4" fillId="8" borderId="0" xfId="1" applyFill="1" applyAlignment="1">
      <alignment horizontal="left"/>
    </xf>
    <xf numFmtId="0" fontId="19" fillId="23" borderId="1" xfId="0" applyFont="1" applyFill="1" applyBorder="1" applyAlignment="1">
      <alignment horizontal="center"/>
    </xf>
    <xf numFmtId="0" fontId="22" fillId="8" borderId="0" xfId="1" applyFont="1" applyFill="1"/>
    <xf numFmtId="0" fontId="10" fillId="17" borderId="0" xfId="0" applyFont="1" applyFill="1"/>
    <xf numFmtId="0" fontId="1" fillId="31" borderId="8" xfId="0" applyFont="1" applyFill="1" applyBorder="1"/>
    <xf numFmtId="0" fontId="8" fillId="31" borderId="8" xfId="0" applyFont="1" applyFill="1" applyBorder="1"/>
    <xf numFmtId="0" fontId="0" fillId="23" borderId="7" xfId="0" applyFill="1" applyBorder="1" applyAlignment="1">
      <alignment horizontal="center" vertical="center"/>
    </xf>
    <xf numFmtId="0" fontId="21" fillId="23" borderId="7" xfId="0" applyFont="1" applyFill="1" applyBorder="1" applyAlignment="1">
      <alignment horizontal="center" vertical="center"/>
    </xf>
    <xf numFmtId="0" fontId="38" fillId="17" borderId="7" xfId="0" applyFont="1" applyFill="1" applyBorder="1" applyAlignment="1">
      <alignment horizontal="center" vertical="center"/>
    </xf>
    <xf numFmtId="0" fontId="21" fillId="17" borderId="7" xfId="0" applyFont="1" applyFill="1" applyBorder="1" applyAlignment="1">
      <alignment horizontal="center" vertical="center"/>
    </xf>
    <xf numFmtId="0" fontId="19" fillId="23" borderId="7" xfId="0" applyFont="1" applyFill="1" applyBorder="1" applyAlignment="1">
      <alignment horizontal="center" vertical="center"/>
    </xf>
    <xf numFmtId="0" fontId="26" fillId="23" borderId="7" xfId="0" applyFont="1" applyFill="1" applyBorder="1" applyAlignment="1">
      <alignment horizontal="center" vertical="center"/>
    </xf>
    <xf numFmtId="0" fontId="30" fillId="22" borderId="7" xfId="0" applyFont="1" applyFill="1" applyBorder="1" applyAlignment="1">
      <alignment horizontal="center" vertical="center"/>
    </xf>
    <xf numFmtId="0" fontId="1" fillId="31" borderId="8" xfId="0" applyFont="1" applyFill="1" applyBorder="1" applyAlignment="1">
      <alignment wrapText="1"/>
    </xf>
    <xf numFmtId="0" fontId="0" fillId="31" borderId="8" xfId="0" applyFill="1" applyBorder="1"/>
    <xf numFmtId="0" fontId="5" fillId="31" borderId="0" xfId="0" applyFont="1" applyFill="1"/>
    <xf numFmtId="0" fontId="39" fillId="31" borderId="8" xfId="0" applyFont="1" applyFill="1" applyBorder="1"/>
    <xf numFmtId="0" fontId="40" fillId="31" borderId="8" xfId="0" applyFont="1" applyFill="1" applyBorder="1"/>
    <xf numFmtId="0" fontId="41" fillId="31" borderId="8" xfId="0" applyFont="1" applyFill="1" applyBorder="1"/>
    <xf numFmtId="0" fontId="0" fillId="32" borderId="0" xfId="0" applyFill="1"/>
    <xf numFmtId="0" fontId="21" fillId="32" borderId="0" xfId="0" applyFont="1" applyFill="1"/>
    <xf numFmtId="0" fontId="14" fillId="32" borderId="0" xfId="0" applyFont="1" applyFill="1"/>
    <xf numFmtId="0" fontId="12" fillId="32" borderId="0" xfId="0" applyFont="1" applyFill="1"/>
    <xf numFmtId="0" fontId="16" fillId="32" borderId="0" xfId="0" applyFont="1" applyFill="1"/>
    <xf numFmtId="0" fontId="18" fillId="32" borderId="0" xfId="0" applyFont="1" applyFill="1"/>
    <xf numFmtId="0" fontId="26" fillId="32" borderId="0" xfId="0" applyFont="1" applyFill="1"/>
    <xf numFmtId="0" fontId="9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/>
    <xf numFmtId="0" fontId="8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32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31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2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ibaba.com/product-detail/Robot-Servo-STS3215-7-4V-19kg_1600052037414.html?spm=a2700.galleryofferlist.normal_offer.d_title.26cb13a0on0spo" TargetMode="External"/><Relationship Id="rId18" Type="http://schemas.openxmlformats.org/officeDocument/2006/relationships/hyperlink" Target="https://www.amazon.fr/gp/product/B0BFWSP4PP/ref=ox_sc_act_title_2?smid=A1VSNBJQRMXLRM&amp;psc=1" TargetMode="External"/><Relationship Id="rId26" Type="http://schemas.openxmlformats.org/officeDocument/2006/relationships/hyperlink" Target="https://fr.aliexpress.com/item/32988983058.html?spm=a2g0o.productlist.main.1.74f04185pltTMU&amp;algo_pvid=d20803e2-ea4b-4f73-aa92-eeb734799015&amp;algo_exp_id=d20803e2-ea4b-4f73-aa92-eeb734799015-0&amp;pdp_ext_f=%7B%22order%22%3A%2255%22%2C%22eval%22%3A%221%22%7D&amp;pdp_npi=4%40dis%21EUR%214.82%214.79%21%21%215.08%215.05%21%402103890917436154411907621e95e8%2166896320728%21sea%21FR%210%21ABX&amp;curPageLogUid=z2ZhApw5TQB0&amp;utparam-url=scene%3Asearch%7Cquery_from%3A" TargetMode="External"/><Relationship Id="rId39" Type="http://schemas.openxmlformats.org/officeDocument/2006/relationships/hyperlink" Target="https://www.fruugo.fi/zero-2w-kameralle-5mp-rpi-zero-camera-15-cm-ffc/p-388604443-833527585?language=fi&amp;ac=google&amp;gad_source=1&amp;gad_campaignid=22774112581&amp;gbraid=0AAAAADpXug0aCco2GSvD76xOd8cAfrb0G&amp;gclid=Cj0KCQjw267GBhCSARIsAOjVJ4EdTciPueASanBLC0htiaJoOjaJH5e8mRAp3OzqQcrNwkzeAzMP6UQaAj9tEALw_wcB" TargetMode="External"/><Relationship Id="rId21" Type="http://schemas.openxmlformats.org/officeDocument/2006/relationships/hyperlink" Target="https://www.amazon.fr/gp/product/B086JH2BTD/ref=ppx_yo_dt_b_asin_title_o03_s00?ie=UTF8&amp;psc=1" TargetMode="External"/><Relationship Id="rId34" Type="http://schemas.openxmlformats.org/officeDocument/2006/relationships/hyperlink" Target="https://www.fruugo.fi/ohjelmoitava-servo-ohjain-raspberry-pi-arduino-ja-esp32-yhteensopiviin-projekteihin/p-396945123-847096009?language=fi&amp;ac=google&amp;gad_source=1&amp;gad_campaignid=22788303253&amp;gbraid=0AAAAADpXug2T0IcBU5gO-AyD89YGEIt_w&amp;gclid=Cj0KCQjw267GBhCSARIsAOjVJ4GhnFHkFpOuIVnMdm4XJrSD0F0NogRyqC-89qyeS9IsUyIpnygIw9UaAhkkEALw_wcB" TargetMode="External"/><Relationship Id="rId42" Type="http://schemas.openxmlformats.org/officeDocument/2006/relationships/hyperlink" Target="https://www.fruugo.fi/20-paria-xt30-liittimet-uros-ja-naarasliittimet-pistokkeet-40-osaisella-kutisteletkulla-rc-akulle/p-405482914-860043233?language=fi&amp;ac=google&amp;gad_source=1&amp;gad_campaignid=22736139519&amp;gbraid=0AAAAADpXug0r8E5MfJ-7Wh5SWXLqBYO5H&amp;gclid=Cj0KCQjw267GBhCSARIsAOjVJ4FJ_HtsdHGeD54MERxfHQ6V0re_pN0ge4gwHTDpmkmLUE0_tHsW2zYaAi0-EALw_wcB" TargetMode="External"/><Relationship Id="rId47" Type="http://schemas.openxmlformats.org/officeDocument/2006/relationships/hyperlink" Target="https://www.fruugo.fi/2s-10a-74v-18650-litiumlaturin-suojalevy-bms-pcm-moudle-tasapainolla/p-116330269-244291156?language=fi&amp;ac=google&amp;asc=pmax&amp;gad_source=1&amp;gad_campaignid=17619618642&amp;gbraid=0AAAAADpXug1PGekaFO41p8ZwUB2oXKIgZ&amp;gclid=Cj0KCQjw267GBhCSARIsAOjVJ4EMwctXDhkYTWt9LYrphpOLVZwlO5oDsqTKUsy1PUL6dmkzeHSm3hYaAs6PEALw_wcB" TargetMode="External"/><Relationship Id="rId50" Type="http://schemas.openxmlformats.org/officeDocument/2006/relationships/hyperlink" Target="https://www.an-cadsolutions.fi/tuote/ruthex-m3-lyhyet-insertit-rx-m3sx4-0-100kpl/" TargetMode="External"/><Relationship Id="rId7" Type="http://schemas.openxmlformats.org/officeDocument/2006/relationships/hyperlink" Target="https://www.amazon.fr/AERZETIX-connecteur-Adaptateur-dalimentation-souder/dp/B07VQ6VFDN?crid=3C8K8WDD3RJG&amp;dib=eyJ2IjoiMSJ9.hgIm2nyW_ESFFYT4DeDzVPMJgl41D6LolNDvN9CDC4YWus941iYDFmZdH3g0Oj79TRAWxawfiyEkTKVVRiAZb3MBc1nqZwgmZzVgnudhuZN5D6eHOu6jMLftRZ7raJBkOF0koaUXMKwMOiAyci2wG1XZy666tBwEf8pbZ0evQYtES41VGX5w8lfEbeRrq21wnlUgc6Frvn0-lKYyLD957iRbRCRZ5sGr_axxWE6kcuNGOMb3FfE0TphONcgvaFBSQD5aQfqO1nBZZVbDK2RvGq8Fijfnme1mRJjhmKC2uQAjgPgw09svR_vRIAP5FEE2-D4q8a2PnJqZbVyRIsrSsL2_Z3lmxtYzHdf2yYBRknQvsrnj8MO1X-fnkU8snEkDC9dpADN7QT1sII68ypc636TUNFNyfFVOupgTFIFWY587NOwPEmRPCEtScDWGpRu5.qxB0eQgkLOSCB-G8qzovZ6S2yujDvuDkXC6106EpWgE&amp;dib_tag=se&amp;keywords=barrel%2Bjack%2B2.1%2Bmale&amp;nsdOptOutParam=true&amp;qid=1736100196&amp;sprefix=barrel%2Bjack%2B2.1%2Bmale%2Caps%2C89&amp;sr=8-24&amp;th=1" TargetMode="External"/><Relationship Id="rId2" Type="http://schemas.openxmlformats.org/officeDocument/2006/relationships/hyperlink" Target="https://www.amazon.fr/CABLEPELADO-Support-pour-piles-MR18650/dp/B08YDTSML8?crid=1FQGXRKJFMOV2&amp;dib=eyJ2IjoiMSJ9.TV4wqos7VNMPmcjGomlUO_vmiXEZpKjjSuWS3_rrqibAFnkQYQKpa4VBFRfehLrxITOHpOzHuQxUltC8vvhoEC1A5sVy0-cH9Z85BsidGHCbTDDSyTSWOe3YXmWmIplvOjGJv0o9sg326VLqtgpdrgxlL38O2MbELjauaSCanScSXei5pzTlxXYTkOXb6AtGzA28L0bhSLgw4zm2S-hL1u-1BCCYw4BD_jOYlVqUNYwQlQFi4PFSvDAsmBAzrqdUf5F5DDvSvYKaMIjB4p8yvi9QdULiO4BFhP74vk2ajF_44P1rquB-6yadeoZIuRCk9-HYqsm-P8QhSlHepM41Kr0l8EXHw64z3ZEhy7ui2Pn3WwxCsQbWWQdY9PUivbCxrM3zkVjWyHoGv0eGjtzVcqnPXBUulfJ3iNdRAKbsLbm8Sl4mz_SoaAxxI0Dbahfr.8ZT5-PY7dowPF6ctSIxnT1YwNAi32-vvHosceSGszks&amp;dib_tag=se&amp;keywords=18650+cell+holder+2s&amp;qid=1738953830&amp;sprefix=18650+cell+holder+2s%2Caps%2C82&amp;sr=8-4" TargetMode="External"/><Relationship Id="rId16" Type="http://schemas.openxmlformats.org/officeDocument/2006/relationships/hyperlink" Target="https://www.amazon.fr/dp/B09ZPF48VK?psc=1&amp;ref=ppx_yo2ov_dt_b_product_details" TargetMode="External"/><Relationship Id="rId29" Type="http://schemas.openxmlformats.org/officeDocument/2006/relationships/hyperlink" Target="https://www.partco.fi/en/raspberry-pi/raspberry-pi-zero/23529-rpi-zero-2w.html" TargetMode="External"/><Relationship Id="rId11" Type="http://schemas.openxmlformats.org/officeDocument/2006/relationships/hyperlink" Target="https://www.amazon.fr/SanDisk-M%C3%A9moire-microSDHC-Adaptateur-homologu%C3%A9e/dp/B08GY9NYRM/257-3914705-5327951?pd_rd_w=CQzbr&amp;content-id=amzn1.sym.3dbb4249-7cc8-4963-a362-854c36cc0919&amp;pf_rd_p=3dbb4249-7cc8-4963-a362-854c36cc0919&amp;pf_rd_r=94YWNZSVVP860JDQFEFT&amp;pd_rd_wg=H5PiK&amp;pd_rd_r=6395add6-d125-46ec-a15d-2f0d5c3477c6&amp;pd_rd_i=B08GY9NYRM&amp;psc=1" TargetMode="External"/><Relationship Id="rId24" Type="http://schemas.openxmlformats.org/officeDocument/2006/relationships/hyperlink" Target="https://www.amazon.fr/gp/product/B0C4H3PT7W/ref=ppx_yo_dt_b_asin_title_o03_s01?ie=UTF8&amp;th=1" TargetMode="External"/><Relationship Id="rId32" Type="http://schemas.openxmlformats.org/officeDocument/2006/relationships/hyperlink" Target="https://www.mouser.fi/ProductDetail/Omron-Electronics/SS-10-3?qs=jlWqeHNmHbT2UZ5h2AQoUw%3D%3D" TargetMode="External"/><Relationship Id="rId37" Type="http://schemas.openxmlformats.org/officeDocument/2006/relationships/hyperlink" Target="https://ampul.eu/fi/akkukotelot/3662-akkukotelo-4-18650-akulle-148v?gad_source=1&amp;gad_campaignid=18939078600&amp;gbraid=0AAAAADSG6LEULDwi5YPZqXrDlgsEaj-fY&amp;gclid=Cj0KCQjw267GBhCSARIsAOjVJ4GtsbujrsRyd8JOmOjH03kQ1VKjR3KW7beDLp6SFoETXJtkR1pFIrAaAp_WEALw_wcB" TargetMode="External"/><Relationship Id="rId40" Type="http://schemas.openxmlformats.org/officeDocument/2006/relationships/hyperlink" Target="https://www.prisma.fi/tuotteet/100156614/sandisk-64gb-microsd-kortti-sd-kortti-adapteri-100mb-class10-100156614" TargetMode="External"/><Relationship Id="rId45" Type="http://schemas.openxmlformats.org/officeDocument/2006/relationships/hyperlink" Target="https://pyorapaja.fi/product/21503/laakeri-union-cb-132-6804-2rs-20x32x7?gad_source=1&amp;gad_campaignid=20992522006&amp;gbraid=0AAAAADNEmEvIaw6Vm__9-O-VlmMFp8qqR&amp;gclid=Cj0KCQjw267GBhCSARIsAOjVJ4F_YCG9wUKlD-GyeIDdGR4aIs9u_365quNBZKcxbKpv3XlcWwabU1MaAgFhEALw_wcB" TargetMode="External"/><Relationship Id="rId5" Type="http://schemas.openxmlformats.org/officeDocument/2006/relationships/hyperlink" Target="https://www.amazon.fr/dp/B0CH3JCQM5?psc=1&amp;ref=ppx_yo2ov_dt_b_product_details" TargetMode="External"/><Relationship Id="rId15" Type="http://schemas.openxmlformats.org/officeDocument/2006/relationships/hyperlink" Target="https://www.amazon.fr/Miuzei-H%C3%A9licopt%C3%A8re-V%C3%A9hicules-Contr%C3%B4le-Mod%C3%A9lisme/dp/B0BBR4D8SZ?__mk_fr_FR=%C3%85M%C3%85%C5%BD%C3%95%C3%91&amp;crid=3GOG4ADJ8Z7U0&amp;dib=eyJ2IjoiMSJ9.EQrPXXOyBUWL1N6FVz_Zxt6tuBkEFh8DTmhL__hQ6I1XVOAHjwVZmN_p7-kmquyL8RwqI014yqmPK6CoTre3NgIHObUJ8XsZr4q3gRTxP--bMJTIPO2LZXEpPrQliLuKgkHLkzPbCnCUB1tx1u2oAuBnSkCSg_FJF4bvxmQekhanYlxgPu9K7Ooo3Y8Vfc8n42HKVEUT2m8FY7ayX7f2PG8KccBa5w9zmH8xshgAVpy4TKZ19dzhv-rKlj9c3fyyms9nJ2Q3l9Bg77TVdEL7QvfQQyT7XRBZYd0V2rG-hEk.fok8XY2DiiUs1ZtPCimiwEYhz9-YZQWVZy7JYc6d__0&amp;dib_tag=se&amp;keywords=9g%2Bservo&amp;qid=1720531385&amp;sbo=RZvfv%2F%2FHxDF%2BO5021pAnSA%3D%3D&amp;sprefix=9g%2Bservo%2Caps%2C79&amp;sr=8-5&amp;th=1" TargetMode="External"/><Relationship Id="rId23" Type="http://schemas.openxmlformats.org/officeDocument/2006/relationships/hyperlink" Target="https://www.amazon.fr/gp/product/B06XNL2GBW/ref=ppx_yo_dt_b_asin_title_o01_s00?ie=UTF8&amp;psc=1" TargetMode="External"/><Relationship Id="rId28" Type="http://schemas.openxmlformats.org/officeDocument/2006/relationships/hyperlink" Target="https://www.mouser.fi/ProductDetail/Adafruit/4646?qs=W%2FMpXkg%252BdQ4Msqspav40iw%3D%3D" TargetMode="External"/><Relationship Id="rId36" Type="http://schemas.openxmlformats.org/officeDocument/2006/relationships/hyperlink" Target="https://akkula.fi/tuote/molicel-p28a-18650-li-ion-akkukenno-2800-mah-3_6v-ei-suojapiiria-flat-top/?srsltid=AfmBOop2zDxHL_J5muT2HL_mY6XA-q73nlYRmbXam2YeYXWtzdtJvdqT" TargetMode="External"/><Relationship Id="rId49" Type="http://schemas.openxmlformats.org/officeDocument/2006/relationships/hyperlink" Target="https://www.digikey.fi/fi/products/detail/adafruit-industries-llc/3421/6691114?gclsrc=aw.ds&amp;gad_source=1&amp;gad_campaignid=19551511633&amp;gbraid=0AAAAADrbLliDOFpucyHlFRiMegCobPLVZ&amp;gclid=Cj0KCQjw267GBhCSARIsAOjVJ4G4ibNLeM624x6uO7DWCjQHhS8DCD5X-tquumszMAM1Qlegf7WMKw8aAk-nEALw_wcB" TargetMode="External"/><Relationship Id="rId10" Type="http://schemas.openxmlformats.org/officeDocument/2006/relationships/hyperlink" Target="https://t.ly/M21v4" TargetMode="External"/><Relationship Id="rId19" Type="http://schemas.openxmlformats.org/officeDocument/2006/relationships/hyperlink" Target="https://www.amazon.fr/dp/B0CXXSVFTV?ref=ppx_yo2ov_dt_b_fed_asin_title" TargetMode="External"/><Relationship Id="rId31" Type="http://schemas.openxmlformats.org/officeDocument/2006/relationships/hyperlink" Target="https://kauppa.sintosen.com/product/1347/servo-sg90-9g?gad_source=1&amp;gad_campaignid=19791447013&amp;gbraid=0AAAAABxEgXjVS8hzkw7uRoOv-o9RdqSgI&amp;gclid=Cj0KCQjwuKnGBhD5ARIsAD19RsaRTREwd73wMhL_dVM1Ti2qS3-AKALySYA-NomvtiH75Ug69d75YFoaArPiEALw_wcB" TargetMode="External"/><Relationship Id="rId44" Type="http://schemas.openxmlformats.org/officeDocument/2006/relationships/hyperlink" Target="https://www.partco.fi/en/raspberry-pi/sbc-cameras/25727-rpi-tof-camera-module.html" TargetMode="External"/><Relationship Id="rId4" Type="http://schemas.openxmlformats.org/officeDocument/2006/relationships/hyperlink" Target="https://shorturl.at/8V3wk" TargetMode="External"/><Relationship Id="rId9" Type="http://schemas.openxmlformats.org/officeDocument/2006/relationships/hyperlink" Target="https://www.amazon.fr/gp/product/B017PEIGIG/ref=ox_sc_act_title_2?smid=AZ997SEAZ4L8C&amp;psc=1" TargetMode="External"/><Relationship Id="rId14" Type="http://schemas.openxmlformats.org/officeDocument/2006/relationships/hyperlink" Target="https://fr.aliexpress.com/item/1005006164610609.html?spm=a2g0o.productlist.main.1.19a6fZtnfZtny3&amp;algo_pvid=9ffa2a45-e57e-441a-a3cf-06b457cbaf2b&amp;algo_exp_id=9ffa2a45-e57e-441a-a3cf-06b457cbaf2b-0&amp;pdp_npi=4%40dis%21EUR%210.38%210.38%21%21%212.78%212.79%21%40211b618e17360981497203094e3130%2112000036066614666%21sea%21FR%210%21ABX&amp;curPageLogUid=vntK1rNIPNfQ&amp;utparam-url=scene%3Asearch%7Cquery_from%3A" TargetMode="External"/><Relationship Id="rId22" Type="http://schemas.openxmlformats.org/officeDocument/2006/relationships/hyperlink" Target="https://www.amazon.fr/gp/product/B07C97WKHD/ref=ppx_yo_dt_b_asin_title_o02_s00?ie=UTF8&amp;th=1" TargetMode="External"/><Relationship Id="rId27" Type="http://schemas.openxmlformats.org/officeDocument/2006/relationships/hyperlink" Target="https://thepihut.com/products/time-of-flight-camera-for-raspberry-pi?srsltid=AfmBOopMdgveaxG5NWTbR0hc3KtErme8p8d7pbp8ohiwpZn0qMYSKALu" TargetMode="External"/><Relationship Id="rId30" Type="http://schemas.openxmlformats.org/officeDocument/2006/relationships/hyperlink" Target="https://www.fruugo.fi/74v-sts3215-servos-for-so-arm100-robotic-arm-19kg-high-torque-intelligent-bus-servo-ttl-for-programming-with-fe-urt-1/p-415340897-876864230?language=en&amp;ac=google&amp;asc=pmax&amp;gad_source=1&amp;gad_campaignid=23012371628&amp;gbraid=0AAAAADpXug0WwSXBZ_JKNX9N-44-fP5cm&amp;gclid=Cj0KCQjwuKnGBhD5ARIsAD19RsZTRV4PORdOw-E4kYyJFddxtatQ74xv1y6LdBbH9vqlK7IIvkucYz4aAi0fEALw_wcB" TargetMode="External"/><Relationship Id="rId35" Type="http://schemas.openxmlformats.org/officeDocument/2006/relationships/hyperlink" Target="https://cdon.fi/tuote/usb-c-to-micro-usb-kaapeli-dji-mavic-15cm-d9f07c1d5310478b/?gad_source=1&amp;gad_campaignid=20603743325&amp;gbraid=0AAAAACvPUErnM8zLKzoSzU7vIijw9eeKe&amp;gclid=Cj0KCQjw267GBhCSARIsAOjVJ4FxnKgCTBuQhyqBnHMCH94wCgIZxKytwqduJ-jmzn3P1fafSo2QVPgaAlAEEALw_wcB&amp;gclsrc=aw.ds" TargetMode="External"/><Relationship Id="rId43" Type="http://schemas.openxmlformats.org/officeDocument/2006/relationships/hyperlink" Target="https://www.mouser.fi/ProductDetail/Same-Sky/PP3-002A?qs=WyjlAZoYn51xCL5UiDz5Og%3D%3D" TargetMode="External"/><Relationship Id="rId48" Type="http://schemas.openxmlformats.org/officeDocument/2006/relationships/hyperlink" Target="https://www.partco.fi/en/electromechanics/switches/slide-switches/7284-kyt-liu19.html" TargetMode="External"/><Relationship Id="rId8" Type="http://schemas.openxmlformats.org/officeDocument/2006/relationships/hyperlink" Target="https://www.amazon.fr/RUNCCI-connecteur-XT30Connecteurs-Batterie-connecteurs/dp/B07PC1YKVW?crid=2Y5VRS59F1HXK&amp;dib=eyJ2IjoiMSJ9.Lal-pyqjfgiknlqlAZPLcuqwS9vk0assSif2TUdOQIK3sBzj88-ctUGn37OsmmDQDKfFSAkrWFi7aZ1VsTClu3dXdoFbNtMRMn9mXXRGLys3vLhvUm05EfFoAJLd4POnW8JHQ3I7MkHG1pCCSnXwOgi7NNM15-XWWgF5zdjeQdgLgffqb9XYj9zD16009cthEUWGG0xuO7F5krXRA4CQ4moKNi2LsJ0cLLdayf32md1yekJ2T1w_tFzAuBkVzORrcF5VmhlReCUp-fchd3e-5F8UMPSVwYCMZFsi23XXS87A_ckX_haUSQW3a8rv8l_O6D8eptG_WsJSZRqGhlg2fkPivgSkbUJoyiDuLF-RoETsPHYE1CXPOVmobgTagAkrJP6SUOc2u9Pvir4AKFISe4Smf-XT7zlQH5ylqvyvx5YHkzm8KjEL5C7FTnU1IP1C.5cfUxDcmTd69d6Al06mMp6SfBuBExDUCkev-YdXiB-s&amp;dib_tag=se&amp;keywords=xt30+connectors&amp;qid=1738953871&amp;sprefix=xt30+connectors%2Caps%2C79&amp;sr=8-5" TargetMode="External"/><Relationship Id="rId51" Type="http://schemas.openxmlformats.org/officeDocument/2006/relationships/hyperlink" Target="https://www.an-cadsolutions.fi/tuote/ruthex-m3-insertti-rx-m3x5-7-100kpl/?gad_source=1&amp;gad_campaignid=17347555343&amp;gbraid=0AAAAAD_ZCOKlzjWwWC4E4w3VRRzHPFWQA&amp;gclid=Cj0KCQjw0NPGBhCDARIsAGAzpp3-IIDTjaUbk7xXe1BU8Rsln416P0U7Ek1Pkfsz6djb2GY7CzaOLFAaAmJ6EALw_wcB" TargetMode="External"/><Relationship Id="rId3" Type="http://schemas.openxmlformats.org/officeDocument/2006/relationships/hyperlink" Target="https://shorturl.at/OEXM1" TargetMode="External"/><Relationship Id="rId12" Type="http://schemas.openxmlformats.org/officeDocument/2006/relationships/hyperlink" Target="https://www.waveshare.com/bus-servo-adapter-a.htm" TargetMode="External"/><Relationship Id="rId17" Type="http://schemas.openxmlformats.org/officeDocument/2006/relationships/hyperlink" Target="https://www.amazon.fr/AmazonBasics-C%C3%A2ble-USB-C-vers-Micro/dp/B01LONQ7R6?crid=3V4LPXJVWFT3G&amp;dib=eyJ2IjoiMSJ9.E3rbFeiACwwDpkjt2e7yANPQavDbzxtmbGioSpfgWRAHwdyshKSY5tTklOw3nASkgNwXX1AHVeES97UwzqMa9NBnHR-7AAcMHva2b6gxhEBRqbwSUp0ssCzNHUVlz19sIWrA6cm1O-zfh0JxB81joJVy82cjjX3GYJSLRyqKA4lSD4LW6cWywsHKAEjaWhO2DVfOpQrSuGJyvodPZx0mMCgA5fFS0CQN9wRpeA-mvY-4zL1dy1KQD_fQyinaWPXfQiZP08F4iUTWAd8pvF0q4d1-W5bjne3qbxcU6gr1O4WsZ9r6z6VZW0z4Rbct7hdqajoRX9FduwwJ9B9diQRsO-8lfQmzfTrCAdYtj78OhLu4eWHtKMyYNC3v6-vh-kga5gO0KTyTClUhVQpiTxvmXPke28vgJPYFPtBapQSqJO9sNFXTbfHmQQWUDb9iq0aj.sZGjNKU6LufWKxZCKWFZAvBP5phS5seEsypN8hTiX2A&amp;dib_tag=se&amp;keywords=micro+usb+to+usb+c+short&amp;nsdOptOutParam=true&amp;qid=1736099878&amp;sprefix=micro+usb+to+usb+c+shor%2Caps%2C100&amp;sr=8-4" TargetMode="External"/><Relationship Id="rId25" Type="http://schemas.openxmlformats.org/officeDocument/2006/relationships/hyperlink" Target="https://www.amazon.fr/gp/product/B08SM2MR9Z/ref=ppx_yo_dt_b_asin_title_o01_s01?ie=UTF8&amp;psc=1" TargetMode="External"/><Relationship Id="rId33" Type="http://schemas.openxmlformats.org/officeDocument/2006/relationships/hyperlink" Target="https://www.digikey.fi/en/products/detail/raspberry-pi/SC0532/15294139?srsltid=AfmBOop-DaCA-nx3DMO2VOhHiFw3tngPPTTHL0xXkOARPXnb2mlfZ0XPnCI" TargetMode="External"/><Relationship Id="rId38" Type="http://schemas.openxmlformats.org/officeDocument/2006/relationships/hyperlink" Target="https://kauppa.sintosen.com/product/1950/?gad_source=1&amp;gad_campaignid=19791446356&amp;gbraid=0AAAAABxEgXhl_RGk4qfpq99Dffvz9hduO&amp;gclid=Cj0KCQjw267GBhCSARIsAOjVJ4HiDLbDIl4fIhkYFMa73Ep-KEuj64aimlg1-OrkKLZYYU4Fy5gM58kaAq-_EALw_wcB" TargetMode="External"/><Relationship Id="rId46" Type="http://schemas.openxmlformats.org/officeDocument/2006/relationships/hyperlink" Target="https://fi.grandado.com/products/henge-8a-ubec-output-5v-6v-7-4v-6a-8a-max-12a-inport-7v-25-5v-2-6s-lipo-6-16-cell-ni-mh-input-switch-mode-bec-for-rc-helicopter?variant=UHJvZHVjdFZhcmlhbnQ6NzQ0ODAzNjEz&amp;gad_source=1&amp;gad_campaignid=17182705357&amp;gbraid=0AAAAACzJXPVsggvzHx_0Uo-zNjmK2ESNs&amp;gclid=Cj0KCQjw267GBhCSARIsAOjVJ4Hl5pNZpmSxoE50Vxh63p4peoV87QyYRrr2hf9p4qN7xhlpsPwDJ0waAtDKEALw_wcB" TargetMode="External"/><Relationship Id="rId20" Type="http://schemas.openxmlformats.org/officeDocument/2006/relationships/hyperlink" Target="https://fr.aliexpress.com/item/1005004447866125.html?spm=a2g0o.order_list.order_list_main.16.6c435e5bt7BEbf&amp;gatewayAdapt=glo2fra" TargetMode="External"/><Relationship Id="rId41" Type="http://schemas.openxmlformats.org/officeDocument/2006/relationships/hyperlink" Target="https://www.atea.fi/eshop/product/startech-com-usb-c-to-micro-cable-0-5m-m-thunderbolt-3-compatible-cord-type-usb2cub50cm-kaapeli-24-pin-uros-b-2-50-cm-musta/?prodid=2307771" TargetMode="External"/><Relationship Id="rId1" Type="http://schemas.openxmlformats.org/officeDocument/2006/relationships/hyperlink" Target="https://www.nkon.nl/fr/molicel-inr18650-p30b-3000mah-30a.html" TargetMode="External"/><Relationship Id="rId6" Type="http://schemas.openxmlformats.org/officeDocument/2006/relationships/hyperlink" Target="https://www.amazon.fr/dp/B0BWTK7SVN?psc=1&amp;ref=ppx_yo2ov_dt_b_product_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82"/>
  <sheetViews>
    <sheetView tabSelected="1" zoomScale="115" zoomScaleNormal="115" workbookViewId="0">
      <selection activeCell="H54" sqref="H54"/>
    </sheetView>
  </sheetViews>
  <sheetFormatPr defaultColWidth="12.5546875" defaultRowHeight="15.75" customHeight="1"/>
  <cols>
    <col min="1" max="1" width="30" customWidth="1"/>
    <col min="2" max="2" width="55.109375" style="63" customWidth="1"/>
    <col min="3" max="3" width="90" customWidth="1"/>
    <col min="4" max="4" width="21.5546875" style="39" customWidth="1"/>
    <col min="5" max="5" width="24.44140625" style="67" customWidth="1"/>
    <col min="6" max="6" width="12.5546875" style="106"/>
    <col min="7" max="7" width="36.5546875" style="104" bestFit="1" customWidth="1"/>
    <col min="8" max="8" width="18.88671875" style="51" bestFit="1" customWidth="1"/>
    <col min="9" max="33" width="12.5546875" style="51"/>
  </cols>
  <sheetData>
    <row r="1" spans="1:33" ht="15.75" customHeight="1">
      <c r="A1" s="2" t="s">
        <v>0</v>
      </c>
      <c r="B1" s="66" t="s">
        <v>1</v>
      </c>
      <c r="C1" s="2" t="s">
        <v>2</v>
      </c>
    </row>
    <row r="2" spans="1:33" ht="58.5" customHeight="1">
      <c r="B2" s="90" t="s">
        <v>3</v>
      </c>
      <c r="C2" s="94" t="s">
        <v>4</v>
      </c>
      <c r="D2" s="40" t="s">
        <v>5</v>
      </c>
      <c r="E2" s="68" t="s">
        <v>6</v>
      </c>
      <c r="G2" s="104" t="s">
        <v>7</v>
      </c>
      <c r="H2" s="119" t="s">
        <v>8</v>
      </c>
    </row>
    <row r="3" spans="1:33" s="21" customFormat="1" ht="15">
      <c r="A3" s="142" t="s">
        <v>9</v>
      </c>
      <c r="B3" s="146" t="s">
        <v>10</v>
      </c>
      <c r="C3" s="20" t="s">
        <v>11</v>
      </c>
      <c r="D3" s="41"/>
      <c r="E3" s="69"/>
      <c r="F3" s="107"/>
      <c r="G3" s="105" t="s">
        <v>12</v>
      </c>
      <c r="H3" s="120" t="s">
        <v>13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</row>
    <row r="4" spans="1:33" s="4" customFormat="1" ht="26.4">
      <c r="A4" s="142"/>
      <c r="B4" s="146"/>
      <c r="C4" s="3" t="s">
        <v>14</v>
      </c>
      <c r="D4" s="41">
        <v>4</v>
      </c>
      <c r="E4" s="69" t="s">
        <v>15</v>
      </c>
      <c r="F4" s="106">
        <v>25</v>
      </c>
      <c r="G4" s="113" t="s">
        <v>16</v>
      </c>
      <c r="H4" s="119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</row>
    <row r="5" spans="1:33" s="21" customFormat="1" ht="15">
      <c r="A5" s="131"/>
      <c r="B5" s="146" t="s">
        <v>17</v>
      </c>
      <c r="C5" s="20" t="s">
        <v>18</v>
      </c>
      <c r="D5" s="41"/>
      <c r="E5" s="69"/>
      <c r="F5" s="107"/>
      <c r="G5" s="105" t="s">
        <v>19</v>
      </c>
      <c r="H5" s="120" t="s">
        <v>20</v>
      </c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</row>
    <row r="6" spans="1:33" s="11" customFormat="1" ht="13.8">
      <c r="A6" s="131"/>
      <c r="B6" s="146"/>
      <c r="C6" s="12" t="s">
        <v>21</v>
      </c>
      <c r="D6" s="41">
        <v>1</v>
      </c>
      <c r="E6" s="69" t="s">
        <v>22</v>
      </c>
      <c r="F6" s="82" t="s">
        <v>22</v>
      </c>
      <c r="G6" s="105" t="s">
        <v>23</v>
      </c>
      <c r="H6" s="121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</row>
    <row r="7" spans="1:33" s="21" customFormat="1" ht="13.8">
      <c r="A7" s="131"/>
      <c r="B7" s="146" t="s">
        <v>24</v>
      </c>
      <c r="C7" s="22" t="s">
        <v>25</v>
      </c>
      <c r="D7" s="41"/>
      <c r="E7" s="69"/>
      <c r="F7" s="107"/>
      <c r="G7" s="105" t="s">
        <v>26</v>
      </c>
      <c r="H7" s="120" t="s">
        <v>13</v>
      </c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</row>
    <row r="8" spans="1:33" s="8" customFormat="1" ht="13.8">
      <c r="A8" s="131"/>
      <c r="B8" s="146"/>
      <c r="C8" s="3" t="s">
        <v>27</v>
      </c>
      <c r="D8" s="41">
        <v>1</v>
      </c>
      <c r="E8" s="69" t="s">
        <v>28</v>
      </c>
      <c r="F8" s="82" t="s">
        <v>28</v>
      </c>
      <c r="G8" s="114" t="s">
        <v>29</v>
      </c>
      <c r="H8" s="122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</row>
    <row r="9" spans="1:33" s="21" customFormat="1" ht="15">
      <c r="A9" s="131"/>
      <c r="B9" s="146" t="s">
        <v>30</v>
      </c>
      <c r="C9" s="23" t="s">
        <v>31</v>
      </c>
      <c r="D9" s="39"/>
      <c r="E9" s="69"/>
      <c r="F9" s="107"/>
      <c r="G9" s="105" t="s">
        <v>32</v>
      </c>
      <c r="H9" s="120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</row>
    <row r="10" spans="1:33" s="13" customFormat="1" ht="13.8">
      <c r="A10" s="131"/>
      <c r="B10" s="146"/>
      <c r="C10" s="14" t="s">
        <v>33</v>
      </c>
      <c r="D10" s="41">
        <v>1</v>
      </c>
      <c r="E10" s="69">
        <v>72.69</v>
      </c>
      <c r="F10" s="82">
        <v>72.69</v>
      </c>
      <c r="G10" s="115" t="s">
        <v>34</v>
      </c>
      <c r="H10" s="123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</row>
    <row r="11" spans="1:33" s="21" customFormat="1" ht="13.8">
      <c r="A11" s="131"/>
      <c r="B11" s="146" t="s">
        <v>35</v>
      </c>
      <c r="C11" s="24" t="s">
        <v>36</v>
      </c>
      <c r="D11" s="41"/>
      <c r="E11" s="67"/>
      <c r="F11" s="107"/>
      <c r="G11" s="116" t="s">
        <v>37</v>
      </c>
      <c r="H11" s="120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</row>
    <row r="12" spans="1:33" s="4" customFormat="1" ht="26.4">
      <c r="A12" s="131"/>
      <c r="B12" s="146"/>
      <c r="C12" s="3" t="s">
        <v>38</v>
      </c>
      <c r="D12" s="41">
        <v>1</v>
      </c>
      <c r="E12" s="69">
        <v>1.1000000000000001</v>
      </c>
      <c r="F12" s="82">
        <v>1.1000000000000001</v>
      </c>
      <c r="G12" s="113" t="s">
        <v>39</v>
      </c>
      <c r="H12" s="119" t="s">
        <v>40</v>
      </c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</row>
    <row r="13" spans="1:33" s="21" customFormat="1" ht="13.8">
      <c r="A13" s="131"/>
      <c r="B13" s="145" t="s">
        <v>41</v>
      </c>
      <c r="C13" s="24" t="s">
        <v>42</v>
      </c>
      <c r="D13" s="41"/>
      <c r="E13" s="69"/>
      <c r="F13" s="107"/>
      <c r="G13" s="117" t="s">
        <v>37</v>
      </c>
      <c r="H13" s="120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</row>
    <row r="14" spans="1:33" s="4" customFormat="1" ht="13.8">
      <c r="A14" s="131"/>
      <c r="B14" s="145"/>
      <c r="C14" s="17" t="s">
        <v>43</v>
      </c>
      <c r="D14" s="41">
        <v>1</v>
      </c>
      <c r="E14" s="69">
        <v>0</v>
      </c>
      <c r="F14" s="82">
        <v>0</v>
      </c>
      <c r="G14" s="104" t="s">
        <v>44</v>
      </c>
      <c r="H14" s="119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</row>
    <row r="15" spans="1:33" s="21" customFormat="1" ht="13.8">
      <c r="A15" s="131"/>
      <c r="B15" s="146" t="s">
        <v>45</v>
      </c>
      <c r="C15" s="24" t="s">
        <v>46</v>
      </c>
      <c r="D15" s="39"/>
      <c r="E15" s="70"/>
      <c r="F15" s="107"/>
      <c r="G15" s="105" t="s">
        <v>26</v>
      </c>
      <c r="H15" s="120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</row>
    <row r="16" spans="1:33" s="4" customFormat="1" ht="13.8">
      <c r="A16" s="131"/>
      <c r="B16" s="146"/>
      <c r="C16" s="3" t="s">
        <v>47</v>
      </c>
      <c r="D16" s="42">
        <v>2</v>
      </c>
      <c r="E16" s="71" t="s">
        <v>48</v>
      </c>
      <c r="F16" s="106">
        <v>2.2400000000000002</v>
      </c>
      <c r="G16" s="104" t="s">
        <v>49</v>
      </c>
      <c r="H16" s="119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</row>
    <row r="17" spans="1:33" s="21" customFormat="1" ht="13.8">
      <c r="A17" s="131"/>
      <c r="B17" s="147" t="s">
        <v>50</v>
      </c>
      <c r="C17" s="24" t="s">
        <v>51</v>
      </c>
      <c r="D17" s="42"/>
      <c r="E17" s="70"/>
      <c r="F17" s="107"/>
      <c r="G17" s="105" t="s">
        <v>52</v>
      </c>
      <c r="H17" s="120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</row>
    <row r="18" spans="1:33" s="13" customFormat="1" ht="13.8">
      <c r="B18" s="147"/>
      <c r="C18" s="14" t="s">
        <v>53</v>
      </c>
      <c r="D18" s="42">
        <v>1</v>
      </c>
      <c r="E18" s="70" t="s">
        <v>54</v>
      </c>
      <c r="F18" s="83" t="s">
        <v>54</v>
      </c>
      <c r="G18" s="105" t="s">
        <v>55</v>
      </c>
      <c r="H18" s="123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</row>
    <row r="19" spans="1:33" s="26" customFormat="1" ht="15">
      <c r="A19" s="143" t="s">
        <v>56</v>
      </c>
      <c r="B19" s="141" t="s">
        <v>57</v>
      </c>
      <c r="C19" s="25" t="s">
        <v>58</v>
      </c>
      <c r="D19" s="43"/>
      <c r="E19" s="70"/>
      <c r="F19" s="107"/>
      <c r="G19" s="105" t="s">
        <v>26</v>
      </c>
      <c r="H19" s="120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</row>
    <row r="20" spans="1:33" s="4" customFormat="1" ht="13.8">
      <c r="A20" s="144"/>
      <c r="B20" s="141"/>
      <c r="C20" s="5" t="s">
        <v>59</v>
      </c>
      <c r="D20" s="43">
        <v>1</v>
      </c>
      <c r="E20" s="72" t="s">
        <v>60</v>
      </c>
      <c r="F20" s="84" t="s">
        <v>60</v>
      </c>
      <c r="G20" s="104" t="s">
        <v>61</v>
      </c>
      <c r="H20" s="119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</row>
    <row r="21" spans="1:33" s="26" customFormat="1" ht="15">
      <c r="A21" s="131"/>
      <c r="B21" s="141" t="s">
        <v>62</v>
      </c>
      <c r="C21" s="25" t="s">
        <v>63</v>
      </c>
      <c r="D21" s="43"/>
      <c r="E21" s="70"/>
      <c r="F21" s="107"/>
      <c r="G21" s="105" t="s">
        <v>52</v>
      </c>
      <c r="H21" s="120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</row>
    <row r="22" spans="1:33" s="4" customFormat="1" ht="13.8">
      <c r="A22" s="131"/>
      <c r="B22" s="141"/>
      <c r="C22" s="5" t="s">
        <v>64</v>
      </c>
      <c r="D22" s="43">
        <v>1</v>
      </c>
      <c r="E22" s="72" t="s">
        <v>65</v>
      </c>
      <c r="F22" s="84" t="s">
        <v>65</v>
      </c>
      <c r="G22" s="104" t="s">
        <v>66</v>
      </c>
      <c r="H22" s="119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</row>
    <row r="23" spans="1:33" s="26" customFormat="1" ht="15">
      <c r="A23" s="131"/>
      <c r="B23" s="141" t="s">
        <v>67</v>
      </c>
      <c r="C23" s="25" t="s">
        <v>68</v>
      </c>
      <c r="D23" s="43"/>
      <c r="E23" s="44"/>
      <c r="F23" s="107"/>
      <c r="G23" s="105" t="s">
        <v>69</v>
      </c>
      <c r="H23" s="120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</row>
    <row r="24" spans="1:33" s="11" customFormat="1" ht="13.8">
      <c r="A24" s="131"/>
      <c r="B24" s="141"/>
      <c r="C24" s="95" t="s">
        <v>70</v>
      </c>
      <c r="D24" s="43">
        <v>1</v>
      </c>
      <c r="E24" s="72" t="s">
        <v>71</v>
      </c>
      <c r="F24" s="84" t="s">
        <v>71</v>
      </c>
      <c r="G24" s="105" t="s">
        <v>72</v>
      </c>
      <c r="H24" s="121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</row>
    <row r="25" spans="1:33" s="26" customFormat="1" ht="13.8">
      <c r="A25" s="131"/>
      <c r="B25" s="129" t="s">
        <v>73</v>
      </c>
      <c r="C25" s="27" t="s">
        <v>74</v>
      </c>
      <c r="D25" s="45"/>
      <c r="E25" s="72"/>
      <c r="F25" s="107"/>
      <c r="G25" s="105" t="s">
        <v>75</v>
      </c>
      <c r="H25" s="120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</row>
    <row r="26" spans="1:33" s="4" customFormat="1" ht="24" customHeight="1">
      <c r="A26" s="131"/>
      <c r="B26" s="129"/>
      <c r="C26" s="5" t="s">
        <v>76</v>
      </c>
      <c r="D26" s="45">
        <v>1</v>
      </c>
      <c r="E26" s="73" t="s">
        <v>77</v>
      </c>
      <c r="F26" s="85" t="s">
        <v>77</v>
      </c>
      <c r="G26" s="104" t="s">
        <v>78</v>
      </c>
      <c r="H26" s="119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</row>
    <row r="27" spans="1:33" s="26" customFormat="1" ht="13.8">
      <c r="A27" s="131"/>
      <c r="B27" s="129" t="s">
        <v>79</v>
      </c>
      <c r="C27" s="27" t="s">
        <v>80</v>
      </c>
      <c r="D27" s="45"/>
      <c r="E27" s="72"/>
      <c r="F27" s="107"/>
      <c r="G27" s="105" t="s">
        <v>81</v>
      </c>
      <c r="H27" s="120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</row>
    <row r="28" spans="1:33" s="4" customFormat="1" ht="13.8">
      <c r="A28" s="131"/>
      <c r="B28" s="129"/>
      <c r="C28" s="5" t="s">
        <v>82</v>
      </c>
      <c r="D28" s="45">
        <v>14</v>
      </c>
      <c r="E28" s="73" t="s">
        <v>83</v>
      </c>
      <c r="F28" s="106">
        <v>377.3</v>
      </c>
      <c r="G28" s="104" t="s">
        <v>84</v>
      </c>
      <c r="H28" s="119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</row>
    <row r="29" spans="1:33" s="26" customFormat="1" ht="13.8">
      <c r="A29" s="131"/>
      <c r="B29" s="129" t="s">
        <v>85</v>
      </c>
      <c r="C29" s="27" t="s">
        <v>86</v>
      </c>
      <c r="D29" s="45"/>
      <c r="E29" s="73"/>
      <c r="F29" s="107"/>
      <c r="G29" s="117" t="s">
        <v>37</v>
      </c>
      <c r="H29" s="120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</row>
    <row r="30" spans="1:33" s="4" customFormat="1" ht="13.8">
      <c r="A30" s="131"/>
      <c r="B30" s="129"/>
      <c r="C30" s="5" t="s">
        <v>87</v>
      </c>
      <c r="D30" s="45">
        <v>4</v>
      </c>
      <c r="E30" s="73" t="s">
        <v>88</v>
      </c>
      <c r="F30" s="106" t="s">
        <v>89</v>
      </c>
      <c r="G30" s="104" t="s">
        <v>61</v>
      </c>
      <c r="H30" s="119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</row>
    <row r="31" spans="1:33" s="26" customFormat="1" ht="13.8">
      <c r="A31" s="131"/>
      <c r="B31" s="141" t="s">
        <v>90</v>
      </c>
      <c r="C31" s="27" t="s">
        <v>91</v>
      </c>
      <c r="D31" s="43" t="s">
        <v>92</v>
      </c>
      <c r="E31" s="72" t="s">
        <v>92</v>
      </c>
      <c r="F31" s="107"/>
      <c r="G31" s="105" t="s">
        <v>93</v>
      </c>
      <c r="H31" s="120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</row>
    <row r="32" spans="1:33" s="11" customFormat="1" ht="13.8">
      <c r="B32" s="141"/>
      <c r="C32" s="10" t="s">
        <v>94</v>
      </c>
      <c r="D32" s="43">
        <v>2</v>
      </c>
      <c r="E32" s="72" t="s">
        <v>95</v>
      </c>
      <c r="F32" s="85" t="s">
        <v>96</v>
      </c>
      <c r="G32" s="114" t="s">
        <v>97</v>
      </c>
      <c r="H32" s="121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</row>
    <row r="33" spans="1:33" ht="13.8">
      <c r="A33" s="130" t="s">
        <v>98</v>
      </c>
      <c r="B33" s="134" t="s">
        <v>99</v>
      </c>
      <c r="C33" s="93" t="s">
        <v>100</v>
      </c>
      <c r="D33" s="50">
        <v>1</v>
      </c>
      <c r="E33" s="74">
        <v>18.899999999999999</v>
      </c>
      <c r="F33" s="86">
        <v>18.899999999999999</v>
      </c>
      <c r="G33" s="104" t="s">
        <v>101</v>
      </c>
      <c r="H33" s="119"/>
    </row>
    <row r="34" spans="1:33" ht="13.8">
      <c r="A34" s="130"/>
      <c r="B34" s="134"/>
      <c r="C34" s="35" t="s">
        <v>102</v>
      </c>
      <c r="D34" s="46"/>
      <c r="E34" s="75"/>
      <c r="G34" s="118" t="s">
        <v>37</v>
      </c>
      <c r="H34" s="119"/>
    </row>
    <row r="35" spans="1:33" s="28" customFormat="1" ht="13.8">
      <c r="A35" s="131"/>
      <c r="B35" s="98" t="s">
        <v>103</v>
      </c>
      <c r="C35" s="95" t="s">
        <v>104</v>
      </c>
      <c r="D35" s="96">
        <v>1</v>
      </c>
      <c r="E35" s="97" t="s">
        <v>105</v>
      </c>
      <c r="F35" s="108">
        <v>9</v>
      </c>
      <c r="G35" s="104" t="s">
        <v>106</v>
      </c>
      <c r="H35" s="119" t="s">
        <v>13</v>
      </c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</row>
    <row r="36" spans="1:33" ht="13.8">
      <c r="A36" s="131"/>
      <c r="B36" s="99" t="s">
        <v>107</v>
      </c>
      <c r="C36" s="100" t="s">
        <v>108</v>
      </c>
      <c r="D36" s="101">
        <v>20</v>
      </c>
      <c r="E36" s="97" t="s">
        <v>109</v>
      </c>
      <c r="F36" s="108">
        <v>9.4499999999999993</v>
      </c>
      <c r="G36" s="104" t="s">
        <v>110</v>
      </c>
      <c r="H36" s="119" t="s">
        <v>13</v>
      </c>
    </row>
    <row r="37" spans="1:33" s="29" customFormat="1" ht="13.2">
      <c r="A37" s="131"/>
      <c r="B37" s="99" t="s">
        <v>111</v>
      </c>
      <c r="C37" s="102"/>
      <c r="D37" s="44"/>
      <c r="E37" s="103"/>
      <c r="F37" s="109"/>
      <c r="G37" s="105"/>
      <c r="H37" s="120" t="s">
        <v>13</v>
      </c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</row>
    <row r="38" spans="1:33" s="37" customFormat="1" ht="13.8">
      <c r="A38" s="131"/>
      <c r="B38" s="135" t="s">
        <v>112</v>
      </c>
      <c r="C38" s="16" t="s">
        <v>113</v>
      </c>
      <c r="D38" s="47">
        <v>1</v>
      </c>
      <c r="E38" s="76">
        <v>0</v>
      </c>
      <c r="F38" s="106"/>
      <c r="G38" s="104" t="s">
        <v>114</v>
      </c>
      <c r="H38" s="119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</row>
    <row r="39" spans="1:33" s="29" customFormat="1" ht="13.8">
      <c r="A39" s="131"/>
      <c r="B39" s="135"/>
      <c r="C39" s="30" t="s">
        <v>115</v>
      </c>
      <c r="D39" s="47"/>
      <c r="E39" s="76"/>
      <c r="F39" s="107"/>
      <c r="G39" s="105" t="s">
        <v>116</v>
      </c>
      <c r="H39" s="120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</row>
    <row r="40" spans="1:33" s="4" customFormat="1" ht="13.8">
      <c r="A40" s="131"/>
      <c r="B40" s="134" t="s">
        <v>117</v>
      </c>
      <c r="C40" s="6" t="s">
        <v>118</v>
      </c>
      <c r="D40" s="47">
        <v>1</v>
      </c>
      <c r="E40" s="76" t="s">
        <v>119</v>
      </c>
      <c r="F40" s="87" t="s">
        <v>119</v>
      </c>
      <c r="G40" s="104" t="s">
        <v>120</v>
      </c>
      <c r="H40" s="119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</row>
    <row r="41" spans="1:33" s="29" customFormat="1" ht="13.8">
      <c r="A41" s="131"/>
      <c r="B41" s="134"/>
      <c r="C41" s="30" t="s">
        <v>121</v>
      </c>
      <c r="D41" s="47"/>
      <c r="E41" s="76"/>
      <c r="F41" s="107"/>
      <c r="G41" s="105" t="s">
        <v>26</v>
      </c>
      <c r="H41" s="120" t="s">
        <v>20</v>
      </c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</row>
    <row r="42" spans="1:33" s="4" customFormat="1" ht="13.8">
      <c r="A42" s="131"/>
      <c r="B42" s="134" t="s">
        <v>122</v>
      </c>
      <c r="C42" s="95" t="s">
        <v>123</v>
      </c>
      <c r="D42" s="47">
        <v>1</v>
      </c>
      <c r="E42" s="76">
        <v>16.5</v>
      </c>
      <c r="F42" s="87">
        <v>16.5</v>
      </c>
      <c r="G42" s="104" t="s">
        <v>124</v>
      </c>
      <c r="H42" s="119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</row>
    <row r="43" spans="1:33" s="29" customFormat="1" ht="15.75" customHeight="1">
      <c r="B43" s="134"/>
      <c r="C43" s="30" t="s">
        <v>125</v>
      </c>
      <c r="D43" s="39"/>
      <c r="E43" s="77"/>
      <c r="F43" s="107"/>
      <c r="G43" s="105" t="s">
        <v>37</v>
      </c>
      <c r="H43" s="120" t="s">
        <v>20</v>
      </c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</row>
    <row r="44" spans="1:33" s="15" customFormat="1" ht="13.8">
      <c r="B44" s="136" t="s">
        <v>126</v>
      </c>
      <c r="C44" s="95" t="s">
        <v>127</v>
      </c>
      <c r="D44" s="38">
        <v>3</v>
      </c>
      <c r="E44" s="78" t="s">
        <v>128</v>
      </c>
      <c r="F44" s="110" t="s">
        <v>129</v>
      </c>
      <c r="G44" s="105" t="s">
        <v>130</v>
      </c>
      <c r="H44" s="124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</row>
    <row r="45" spans="1:33" s="31" customFormat="1" ht="13.8">
      <c r="B45" s="136"/>
      <c r="C45" s="5" t="s">
        <v>131</v>
      </c>
      <c r="D45" s="39">
        <v>1</v>
      </c>
      <c r="E45" s="67">
        <v>5.1100000000000003</v>
      </c>
      <c r="F45" s="107"/>
      <c r="G45" s="105" t="s">
        <v>132</v>
      </c>
      <c r="H45" s="120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</row>
    <row r="46" spans="1:33" ht="13.8">
      <c r="B46" s="64" t="s">
        <v>133</v>
      </c>
      <c r="H46" s="119"/>
    </row>
    <row r="47" spans="1:33" s="33" customFormat="1" ht="13.8">
      <c r="A47" s="132" t="s">
        <v>134</v>
      </c>
      <c r="B47" s="63"/>
      <c r="C47" s="32" t="s">
        <v>135</v>
      </c>
      <c r="D47" s="50">
        <v>1</v>
      </c>
      <c r="E47" s="74"/>
      <c r="F47" s="111"/>
      <c r="G47" s="105" t="s">
        <v>136</v>
      </c>
      <c r="H47" s="125" t="s">
        <v>20</v>
      </c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</row>
    <row r="48" spans="1:33" s="4" customFormat="1" ht="13.8">
      <c r="A48" s="133"/>
      <c r="B48" s="137" t="s">
        <v>137</v>
      </c>
      <c r="C48" s="35" t="s">
        <v>138</v>
      </c>
      <c r="D48" s="48"/>
      <c r="E48" s="79"/>
      <c r="F48" s="106"/>
      <c r="G48" s="104" t="s">
        <v>37</v>
      </c>
      <c r="H48" s="119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</row>
    <row r="49" spans="1:33" s="33" customFormat="1" ht="13.8">
      <c r="A49" s="131"/>
      <c r="B49" s="137"/>
      <c r="C49" s="32" t="s">
        <v>139</v>
      </c>
      <c r="D49" s="50">
        <v>1</v>
      </c>
      <c r="E49" s="74">
        <v>7.99</v>
      </c>
      <c r="F49" s="111">
        <v>7.99</v>
      </c>
      <c r="G49" s="105" t="s">
        <v>26</v>
      </c>
      <c r="H49" s="125" t="s">
        <v>20</v>
      </c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</row>
    <row r="50" spans="1:33" s="4" customFormat="1" ht="13.8">
      <c r="A50" s="131"/>
      <c r="B50" s="138" t="s">
        <v>140</v>
      </c>
      <c r="C50" s="35" t="s">
        <v>141</v>
      </c>
      <c r="D50" s="48"/>
      <c r="E50" s="79"/>
      <c r="F50" s="106"/>
      <c r="G50" s="104" t="s">
        <v>37</v>
      </c>
      <c r="H50" s="119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</row>
    <row r="51" spans="1:33" s="33" customFormat="1" ht="13.8">
      <c r="A51" s="131"/>
      <c r="B51" s="138"/>
      <c r="C51" s="32" t="s">
        <v>142</v>
      </c>
      <c r="D51" s="50">
        <v>3</v>
      </c>
      <c r="E51" s="74"/>
      <c r="F51" s="86"/>
      <c r="G51" s="105" t="s">
        <v>26</v>
      </c>
      <c r="H51" s="125" t="s">
        <v>20</v>
      </c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</row>
    <row r="52" spans="1:33" s="4" customFormat="1" ht="13.8">
      <c r="A52" s="131"/>
      <c r="B52" s="139" t="s">
        <v>143</v>
      </c>
      <c r="C52" s="35" t="s">
        <v>144</v>
      </c>
      <c r="D52" s="49"/>
      <c r="E52" s="80"/>
      <c r="F52" s="106"/>
      <c r="G52" s="104" t="s">
        <v>37</v>
      </c>
      <c r="H52" s="119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</row>
    <row r="53" spans="1:33" s="33" customFormat="1" ht="13.8">
      <c r="A53" s="131"/>
      <c r="B53" s="139"/>
      <c r="C53" s="32" t="s">
        <v>145</v>
      </c>
      <c r="D53" s="49"/>
      <c r="E53" s="67"/>
      <c r="F53" s="111"/>
      <c r="G53" s="105" t="s">
        <v>146</v>
      </c>
      <c r="H53" s="125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</row>
    <row r="54" spans="1:33" s="4" customFormat="1" ht="13.8">
      <c r="A54" s="131"/>
      <c r="B54" s="140" t="s">
        <v>147</v>
      </c>
      <c r="C54" s="7" t="s">
        <v>148</v>
      </c>
      <c r="D54" s="49">
        <v>1</v>
      </c>
      <c r="E54" s="81" t="s">
        <v>149</v>
      </c>
      <c r="F54" s="88" t="s">
        <v>149</v>
      </c>
      <c r="G54" s="104" t="s">
        <v>132</v>
      </c>
      <c r="H54" s="119" t="s">
        <v>20</v>
      </c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</row>
    <row r="55" spans="1:33" s="33" customFormat="1" ht="13.8">
      <c r="A55" s="131"/>
      <c r="B55" s="140"/>
      <c r="C55" s="32" t="s">
        <v>150</v>
      </c>
      <c r="D55" s="50">
        <v>4</v>
      </c>
      <c r="E55" s="74"/>
      <c r="F55" s="111"/>
      <c r="G55" s="105" t="s">
        <v>52</v>
      </c>
      <c r="H55" s="125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</row>
    <row r="56" spans="1:33" ht="13.8">
      <c r="A56" s="131"/>
      <c r="B56" s="139" t="s">
        <v>151</v>
      </c>
      <c r="C56" s="34" t="s">
        <v>138</v>
      </c>
      <c r="D56" s="49"/>
      <c r="E56" s="80"/>
      <c r="G56" s="104" t="s">
        <v>37</v>
      </c>
      <c r="H56" s="119"/>
    </row>
    <row r="57" spans="1:33" s="33" customFormat="1" ht="13.8">
      <c r="A57" s="131"/>
      <c r="B57" s="139"/>
      <c r="C57" s="32" t="s">
        <v>152</v>
      </c>
      <c r="D57" s="49"/>
      <c r="E57" s="67"/>
      <c r="F57" s="111"/>
      <c r="G57" s="105" t="s">
        <v>26</v>
      </c>
      <c r="H57" s="125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</row>
    <row r="58" spans="1:33" s="8" customFormat="1" ht="13.8">
      <c r="A58" s="131"/>
      <c r="B58" s="140" t="s">
        <v>153</v>
      </c>
      <c r="C58" s="9" t="s">
        <v>154</v>
      </c>
      <c r="D58" s="49">
        <v>1</v>
      </c>
      <c r="E58" s="80" t="s">
        <v>155</v>
      </c>
      <c r="F58" s="89" t="s">
        <v>155</v>
      </c>
      <c r="G58" s="114" t="s">
        <v>156</v>
      </c>
      <c r="H58" s="122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</row>
    <row r="59" spans="1:33" ht="13.8">
      <c r="A59" s="131"/>
      <c r="B59" s="140"/>
      <c r="C59" s="1" t="s">
        <v>157</v>
      </c>
      <c r="D59" s="49"/>
      <c r="G59" s="104" t="s">
        <v>136</v>
      </c>
      <c r="H59" s="119"/>
    </row>
    <row r="60" spans="1:33" s="18" customFormat="1" ht="13.8">
      <c r="B60" s="140" t="s">
        <v>158</v>
      </c>
      <c r="C60" s="19" t="s">
        <v>159</v>
      </c>
      <c r="D60" s="49">
        <v>1</v>
      </c>
      <c r="E60" s="80" t="s">
        <v>160</v>
      </c>
      <c r="F60" s="89" t="s">
        <v>160</v>
      </c>
      <c r="G60" s="114" t="s">
        <v>161</v>
      </c>
      <c r="H60" s="121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</row>
    <row r="61" spans="1:33" ht="15.75" customHeight="1">
      <c r="B61" s="140"/>
      <c r="C61" s="36" t="s">
        <v>162</v>
      </c>
      <c r="G61" s="104" t="s">
        <v>37</v>
      </c>
      <c r="H61" s="119"/>
    </row>
    <row r="62" spans="1:33" s="4" customFormat="1" ht="13.8">
      <c r="B62" s="140" t="s">
        <v>163</v>
      </c>
      <c r="C62" s="95" t="s">
        <v>164</v>
      </c>
      <c r="D62" s="49">
        <v>1</v>
      </c>
      <c r="E62" s="67" t="s">
        <v>165</v>
      </c>
      <c r="F62" s="78" t="s">
        <v>165</v>
      </c>
      <c r="G62" s="104" t="s">
        <v>66</v>
      </c>
      <c r="H62" s="119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</row>
    <row r="63" spans="1:33" s="4" customFormat="1" ht="13.8">
      <c r="B63" s="140"/>
      <c r="D63" s="39"/>
      <c r="E63" s="49"/>
      <c r="F63" s="106">
        <f>SUM(F1:F62)</f>
        <v>540.16999999999996</v>
      </c>
      <c r="G63" s="104"/>
      <c r="H63" s="119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</row>
    <row r="64" spans="1:33" s="4" customFormat="1" ht="15.75" customHeight="1">
      <c r="A64" s="126" t="s">
        <v>166</v>
      </c>
      <c r="B64" s="65" t="s">
        <v>167</v>
      </c>
      <c r="D64" s="39"/>
      <c r="E64" s="67"/>
      <c r="F64" s="106"/>
      <c r="G64" s="104"/>
      <c r="H64" s="119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</row>
    <row r="65" spans="1:9" ht="15.75" customHeight="1">
      <c r="A65" s="127"/>
      <c r="B65" s="59" t="s">
        <v>168</v>
      </c>
      <c r="C65" s="2" t="s">
        <v>169</v>
      </c>
      <c r="G65" s="104" t="s">
        <v>170</v>
      </c>
      <c r="H65" s="119"/>
    </row>
    <row r="66" spans="1:9" ht="49.5" customHeight="1">
      <c r="A66" s="127"/>
      <c r="B66" s="60" t="s">
        <v>171</v>
      </c>
      <c r="C66" s="2" t="s">
        <v>172</v>
      </c>
      <c r="G66" s="104" t="s">
        <v>170</v>
      </c>
      <c r="H66" s="119"/>
    </row>
    <row r="67" spans="1:9" ht="36" customHeight="1">
      <c r="A67" s="127"/>
      <c r="B67" s="60" t="s">
        <v>173</v>
      </c>
      <c r="C67" s="2" t="s">
        <v>172</v>
      </c>
      <c r="G67" s="104" t="s">
        <v>170</v>
      </c>
      <c r="H67" s="119"/>
    </row>
    <row r="68" spans="1:9" ht="15.75" customHeight="1">
      <c r="A68" s="128"/>
      <c r="B68" s="61" t="s">
        <v>174</v>
      </c>
      <c r="C68" s="2" t="s">
        <v>175</v>
      </c>
      <c r="G68" s="104" t="s">
        <v>170</v>
      </c>
      <c r="H68" s="119"/>
    </row>
    <row r="69" spans="1:9" ht="15.75" customHeight="1">
      <c r="A69" s="58"/>
      <c r="B69" s="62" t="s">
        <v>176</v>
      </c>
      <c r="C69" s="2" t="s">
        <v>175</v>
      </c>
      <c r="G69" s="104" t="s">
        <v>170</v>
      </c>
      <c r="H69" s="119"/>
    </row>
    <row r="70" spans="1:9" ht="15.75" customHeight="1">
      <c r="B70" s="61" t="s">
        <v>177</v>
      </c>
      <c r="C70" s="92"/>
      <c r="F70" s="112"/>
      <c r="G70" s="105" t="s">
        <v>178</v>
      </c>
      <c r="H70" s="119"/>
      <c r="I70" s="28"/>
    </row>
    <row r="71" spans="1:9" ht="15.75" customHeight="1">
      <c r="B71" s="91" t="s">
        <v>179</v>
      </c>
      <c r="C71" t="s">
        <v>180</v>
      </c>
      <c r="H71" s="119"/>
    </row>
    <row r="72" spans="1:9" ht="15.75" customHeight="1">
      <c r="H72" s="119"/>
    </row>
    <row r="73" spans="1:9" ht="15.75" customHeight="1">
      <c r="H73" s="119"/>
    </row>
    <row r="74" spans="1:9" ht="15.75" customHeight="1">
      <c r="H74" s="119"/>
    </row>
    <row r="75" spans="1:9" ht="15.75" customHeight="1">
      <c r="H75" s="119"/>
    </row>
    <row r="76" spans="1:9" ht="15.75" customHeight="1">
      <c r="H76" s="119"/>
    </row>
    <row r="77" spans="1:9" ht="15.75" customHeight="1">
      <c r="H77" s="119"/>
    </row>
    <row r="78" spans="1:9" ht="15.75" customHeight="1">
      <c r="H78" s="119"/>
    </row>
    <row r="79" spans="1:9" ht="15.75" customHeight="1">
      <c r="H79" s="119"/>
    </row>
    <row r="80" spans="1:9" ht="15.75" customHeight="1">
      <c r="H80" s="119"/>
    </row>
    <row r="81" spans="8:8" ht="15.75" customHeight="1">
      <c r="H81" s="119"/>
    </row>
    <row r="82" spans="8:8" ht="15.75" customHeight="1">
      <c r="H82" s="119"/>
    </row>
  </sheetData>
  <mergeCells count="33">
    <mergeCell ref="A3:A17"/>
    <mergeCell ref="A19:A31"/>
    <mergeCell ref="B31:B32"/>
    <mergeCell ref="B13:B14"/>
    <mergeCell ref="B15:B16"/>
    <mergeCell ref="B17:B18"/>
    <mergeCell ref="B19:B20"/>
    <mergeCell ref="B21:B22"/>
    <mergeCell ref="B3:B4"/>
    <mergeCell ref="B5:B6"/>
    <mergeCell ref="B7:B8"/>
    <mergeCell ref="B9:B10"/>
    <mergeCell ref="B11:B12"/>
    <mergeCell ref="B23:B24"/>
    <mergeCell ref="B56:B57"/>
    <mergeCell ref="B27:B28"/>
    <mergeCell ref="B29:B30"/>
    <mergeCell ref="B54:B55"/>
    <mergeCell ref="A64:A68"/>
    <mergeCell ref="B25:B26"/>
    <mergeCell ref="A33:A42"/>
    <mergeCell ref="A47:A59"/>
    <mergeCell ref="B33:B34"/>
    <mergeCell ref="B38:B39"/>
    <mergeCell ref="B40:B41"/>
    <mergeCell ref="B42:B43"/>
    <mergeCell ref="B44:B45"/>
    <mergeCell ref="B48:B49"/>
    <mergeCell ref="B50:B51"/>
    <mergeCell ref="B52:B53"/>
    <mergeCell ref="B58:B59"/>
    <mergeCell ref="B60:B61"/>
    <mergeCell ref="B62:B63"/>
  </mergeCells>
  <phoneticPr fontId="6" type="noConversion"/>
  <hyperlinks>
    <hyperlink ref="C3" r:id="rId1" xr:uid="{00000000-0004-0000-0000-000000000000}"/>
    <hyperlink ref="C5" r:id="rId2" xr:uid="{00000000-0004-0000-0000-000001000000}"/>
    <hyperlink ref="C7" r:id="rId3" xr:uid="{00000000-0004-0000-0000-000002000000}"/>
    <hyperlink ref="C9" r:id="rId4" xr:uid="{00000000-0004-0000-0000-000003000000}"/>
    <hyperlink ref="C11" r:id="rId5" xr:uid="{00000000-0004-0000-0000-000004000000}"/>
    <hyperlink ref="C13" r:id="rId6" xr:uid="{00000000-0004-0000-0000-000005000000}"/>
    <hyperlink ref="C15" r:id="rId7" xr:uid="{00000000-0004-0000-0000-000006000000}"/>
    <hyperlink ref="C17" r:id="rId8" xr:uid="{00000000-0004-0000-0000-000007000000}"/>
    <hyperlink ref="C19" r:id="rId9" xr:uid="{00000000-0004-0000-0000-000008000000}"/>
    <hyperlink ref="C21" r:id="rId10" xr:uid="{00000000-0004-0000-0000-00000A000000}"/>
    <hyperlink ref="C23" r:id="rId11" xr:uid="{00000000-0004-0000-0000-00000B000000}"/>
    <hyperlink ref="C25" r:id="rId12" xr:uid="{00000000-0004-0000-0000-00000C000000}"/>
    <hyperlink ref="C27" r:id="rId13" xr:uid="{00000000-0004-0000-0000-00000D000000}"/>
    <hyperlink ref="C29" r:id="rId14" xr:uid="{00000000-0004-0000-0000-00000F000000}"/>
    <hyperlink ref="C31" r:id="rId15" xr:uid="{00000000-0004-0000-0000-000010000000}"/>
    <hyperlink ref="C33" r:id="rId16" xr:uid="{00000000-0004-0000-0000-000011000000}"/>
    <hyperlink ref="C39" r:id="rId17" xr:uid="{00000000-0004-0000-0000-000013000000}"/>
    <hyperlink ref="C41" r:id="rId18" xr:uid="{00000000-0004-0000-0000-000014000000}"/>
    <hyperlink ref="C43" r:id="rId19" xr:uid="{00000000-0004-0000-0000-000015000000}"/>
    <hyperlink ref="C47" r:id="rId20" xr:uid="{00000000-0004-0000-0000-000016000000}"/>
    <hyperlink ref="C49" r:id="rId21" xr:uid="{00000000-0004-0000-0000-000017000000}"/>
    <hyperlink ref="C51" r:id="rId22" xr:uid="{00000000-0004-0000-0000-000018000000}"/>
    <hyperlink ref="C53" r:id="rId23" xr:uid="{00000000-0004-0000-0000-000019000000}"/>
    <hyperlink ref="C55" r:id="rId24" xr:uid="{00000000-0004-0000-0000-00001A000000}"/>
    <hyperlink ref="C57" r:id="rId25" xr:uid="{00000000-0004-0000-0000-00001B000000}"/>
    <hyperlink ref="C59" r:id="rId26" xr:uid="{00000000-0004-0000-0000-00001C000000}"/>
    <hyperlink ref="C61" r:id="rId27" xr:uid="{4C4A0D85-2CA1-44F3-98A5-D642FF573741}"/>
    <hyperlink ref="C20" r:id="rId28" xr:uid="{76054C01-A99A-43E7-B82A-854BB2E8BFC3}"/>
    <hyperlink ref="C22" r:id="rId29" xr:uid="{FE416594-C006-416A-AEC0-8F89EE964A48}"/>
    <hyperlink ref="C28" r:id="rId30" display="https://www.fruugo.fi/74v-sts3215-servos-for-so-arm100-robotic-arm-19kg-high-torque-intelligent-bus-servo-ttl-for-programming-with-fe-urt-1/p-415340897-876864230?language=en&amp;ac=google&amp;asc=pmax&amp;gad_source=1&amp;gad_campaignid=23012371628&amp;gbraid=0AAAAADpXug0WwSXBZ_JKNX9N-44-fP5cm&amp;gclid=Cj0KCQjwuKnGBhD5ARIsAD19RsZTRV4PORdOw-E4kYyJFddxtatQ74xv1y6LdBbH9vqlK7IIvkucYz4aAi0fEALw_wcB" xr:uid="{BDC4E7E6-26EE-4799-B262-5F4D72199F1C}"/>
    <hyperlink ref="C32" r:id="rId31" xr:uid="{CAC0C3D0-F4B8-4E3C-9F19-D1A0C51A6944}"/>
    <hyperlink ref="C30" r:id="rId32" xr:uid="{C8E8041F-C696-4098-B013-DC1682AE20AC}"/>
    <hyperlink ref="C45" r:id="rId33" xr:uid="{985F0D4F-CC95-4ACA-AB4E-8C1B27FE7518}"/>
    <hyperlink ref="C26" r:id="rId34" display="https://www.fruugo.fi/ohjelmoitava-servo-ohjain-raspberry-pi-arduino-ja-esp32-yhteensopiviin-projekteihin/p-396945123-847096009?language=fi&amp;ac=google&amp;gad_source=1&amp;gad_campaignid=22788303253&amp;gbraid=0AAAAADpXug2T0IcBU5gO-AyD89YGEIt_w&amp;gclid=Cj0KCQjw267GBhCSARIsAOjVJ4GhnFHkFpOuIVnMdm4XJrSD0F0NogRyqC-89qyeS9IsUyIpnygIw9UaAhkkEALw_wcB" xr:uid="{C47A6608-251A-4C43-AF9C-4BBD791C60BF}"/>
    <hyperlink ref="C40" r:id="rId35" display="https://cdon.fi/tuote/usb-c-to-micro-usb-kaapeli-dji-mavic-15cm-d9f07c1d5310478b/?gad_source=1&amp;gad_campaignid=20603743325&amp;gbraid=0AAAAACvPUErnM8zLKzoSzU7vIijw9eeKe&amp;gclid=Cj0KCQjw267GBhCSARIsAOjVJ4FxnKgCTBuQhyqBnHMCH94wCgIZxKytwqduJ-jmzn3P1fafSo2QVPgaAlAEEALw_wcB&amp;gclsrc=aw.ds" xr:uid="{F7A20923-CA9D-405E-B30F-62568387FE86}"/>
    <hyperlink ref="C4" r:id="rId36" xr:uid="{5B5387E1-3E6E-4151-A2B4-07855E7B47B3}"/>
    <hyperlink ref="C6" r:id="rId37" xr:uid="{473AED9B-E69A-4FB1-87C9-1947D51E616F}"/>
    <hyperlink ref="C58" r:id="rId38" xr:uid="{33F54FC1-236D-4C9C-9A02-EA450A6AA51A}"/>
    <hyperlink ref="C60" r:id="rId39" display="https://www.fruugo.fi/zero-2w-kameralle-5mp-rpi-zero-camera-15-cm-ffc/p-388604443-833527585?language=fi&amp;ac=google&amp;gad_source=1&amp;gad_campaignid=22774112581&amp;gbraid=0AAAAADpXug0aCco2GSvD76xOd8cAfrb0G&amp;gclid=Cj0KCQjw267GBhCSARIsAOjVJ4EdTciPueASanBLC0htiaJoOjaJH5e8mRAp3OzqQcrNwkzeAzMP6UQaAj9tEALw_wcB" xr:uid="{AED65258-0742-44C8-8F59-A03AC8B7212E}"/>
    <hyperlink ref="C24" r:id="rId40" display="https://www.prisma.fi/tuotteet/100156614/sandisk-64gb-microsd-kortti-sd-kortti-adapteri-100mb-class10-100156614" xr:uid="{742CE365-5063-4F35-AB5E-F25708C1158B}"/>
    <hyperlink ref="C42" r:id="rId41" xr:uid="{EC07CE84-A7F0-4D1D-A18E-8C7E1F9C382C}"/>
    <hyperlink ref="C18" r:id="rId42" display="https://www.fruugo.fi/20-paria-xt30-liittimet-uros-ja-naarasliittimet-pistokkeet-40-osaisella-kutisteletkulla-rc-akulle/p-405482914-860043233?language=fi&amp;ac=google&amp;gad_source=1&amp;gad_campaignid=22736139519&amp;gbraid=0AAAAADpXug0r8E5MfJ-7Wh5SWXLqBYO5H&amp;gclid=Cj0KCQjw267GBhCSARIsAOjVJ4FJ_HtsdHGeD54MERxfHQ6V0re_pN0ge4gwHTDpmkmLUE0_tHsW2zYaAi0-EALw_wcB" xr:uid="{8BD4AAF9-8EF6-42BC-B6BB-78A662DEBF59}"/>
    <hyperlink ref="C16" r:id="rId43" xr:uid="{4EB25522-51D7-449F-84F9-CB06986BF68E}"/>
    <hyperlink ref="C62" r:id="rId44" xr:uid="{E234829A-C7DF-442E-A965-4C1A26192F43}"/>
    <hyperlink ref="C44" r:id="rId45" xr:uid="{D6FD1CE6-3A4A-4D41-A565-A457FAC64C73}"/>
    <hyperlink ref="C10" r:id="rId46" display="https://fi.grandado.com/products/henge-8a-ubec-output-5v-6v-7-4v-6a-8a-max-12a-inport-7v-25-5v-2-6s-lipo-6-16-cell-ni-mh-input-switch-mode-bec-for-rc-helicopter?variant=UHJvZHVjdFZhcmlhbnQ6NzQ0ODAzNjEz&amp;gad_source=1&amp;gad_campaignid=17182705357&amp;gbraid=0AAAAACzJXPVsggvzHx_0Uo-zNjmK2ESNs&amp;gclid=Cj0KCQjw267GBhCSARIsAOjVJ4Hl5pNZpmSxoE50Vxh63p4peoV87QyYRrr2hf9p4qN7xhlpsPwDJ0waAtDKEALw_wcB" xr:uid="{BDB23DD5-BF4A-4302-B514-B1CCDE070B72}"/>
    <hyperlink ref="C8" r:id="rId47" display="https://www.fruugo.fi/2s-10a-74v-18650-litiumlaturin-suojalevy-bms-pcm-moudle-tasapainolla/p-116330269-244291156?language=fi&amp;ac=google&amp;asc=pmax&amp;gad_source=1&amp;gad_campaignid=17619618642&amp;gbraid=0AAAAADpXug1PGekaFO41p8ZwUB2oXKIgZ&amp;gclid=Cj0KCQjw267GBhCSARIsAOjVJ4EMwctXDhkYTWt9LYrphpOLVZwlO5oDsqTKUsy1PUL6dmkzeHSm3hYaAs6PEALw_wcB" xr:uid="{3BADB7FC-33AB-4155-825D-239A6C6E15B8}"/>
    <hyperlink ref="C12" r:id="rId48" xr:uid="{77101794-D2C2-4715-AEF2-F59BAD79FF73}"/>
    <hyperlink ref="C54" r:id="rId49" display="https://www.digikey.fi/fi/products/detail/adafruit-industries-llc/3421/6691114?gclsrc=aw.ds&amp;gad_source=1&amp;gad_campaignid=19551511633&amp;gbraid=0AAAAADrbLliDOFpucyHlFRiMegCobPLVZ&amp;gclid=Cj0KCQjw267GBhCSARIsAOjVJ4G4ibNLeM624x6uO7DWCjQHhS8DCD5X-tquumszMAM1Qlegf7WMKw8aAk-nEALw_wcB" xr:uid="{24DDD111-A609-4F30-A566-E4C97706A22A}"/>
    <hyperlink ref="C35" r:id="rId50" xr:uid="{8DE19AD8-4207-473A-918E-5CE6C8269FE4}"/>
    <hyperlink ref="C36" r:id="rId51" xr:uid="{F9C23872-0C3F-4205-AF3C-D82B50D4DCB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736A3EE34ED5A040A2F071CA978E7189" ma:contentTypeVersion="11" ma:contentTypeDescription="Luo uusi asiakirja." ma:contentTypeScope="" ma:versionID="b94175864681fcb7c2555ff59100d855">
  <xsd:schema xmlns:xsd="http://www.w3.org/2001/XMLSchema" xmlns:xs="http://www.w3.org/2001/XMLSchema" xmlns:p="http://schemas.microsoft.com/office/2006/metadata/properties" xmlns:ns2="9b6a8bec-5e64-4027-9dec-91107721268a" xmlns:ns3="1804669b-61b4-499f-97d4-c7b6f06cc75f" targetNamespace="http://schemas.microsoft.com/office/2006/metadata/properties" ma:root="true" ma:fieldsID="8cc21ffedba20ed916b440bed641fe4c" ns2:_="" ns3:_="">
    <xsd:import namespace="9b6a8bec-5e64-4027-9dec-91107721268a"/>
    <xsd:import namespace="1804669b-61b4-499f-97d4-c7b6f06cc7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a8bec-5e64-4027-9dec-911077212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uvien tunnisteet" ma:readOnly="false" ma:fieldId="{5cf76f15-5ced-4ddc-b409-7134ff3c332f}" ma:taxonomyMulti="true" ma:sspId="27ee12cc-49ea-458b-8a70-8770974bc7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4669b-61b4-499f-97d4-c7b6f06cc7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fd77446-60e4-4df8-9bb1-7ad8bdcee5f3}" ma:internalName="TaxCatchAll" ma:showField="CatchAllData" ma:web="1804669b-61b4-499f-97d4-c7b6f06cc7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6a8bec-5e64-4027-9dec-91107721268a">
      <Terms xmlns="http://schemas.microsoft.com/office/infopath/2007/PartnerControls"/>
    </lcf76f155ced4ddcb4097134ff3c332f>
    <TaxCatchAll xmlns="1804669b-61b4-499f-97d4-c7b6f06cc75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728B1A-DAF4-4B99-978D-58EEE9EA09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6a8bec-5e64-4027-9dec-91107721268a"/>
    <ds:schemaRef ds:uri="1804669b-61b4-499f-97d4-c7b6f06cc7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D32459-EB3A-4453-BE77-055AA54A5717}">
  <ds:schemaRefs>
    <ds:schemaRef ds:uri="http://schemas.microsoft.com/office/2006/metadata/properties"/>
    <ds:schemaRef ds:uri="http://schemas.microsoft.com/office/infopath/2007/PartnerControls"/>
    <ds:schemaRef ds:uri="9b6a8bec-5e64-4027-9dec-91107721268a"/>
    <ds:schemaRef ds:uri="1804669b-61b4-499f-97d4-c7b6f06cc75f"/>
  </ds:schemaRefs>
</ds:datastoreItem>
</file>

<file path=customXml/itemProps3.xml><?xml version="1.0" encoding="utf-8"?>
<ds:datastoreItem xmlns:ds="http://schemas.openxmlformats.org/officeDocument/2006/customXml" ds:itemID="{AD0E9EEB-2BC7-4743-9431-C93B34F047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Jiancai x Hou</cp:lastModifiedBy>
  <cp:revision/>
  <dcterms:created xsi:type="dcterms:W3CDTF">2025-09-18T09:30:31Z</dcterms:created>
  <dcterms:modified xsi:type="dcterms:W3CDTF">2025-12-04T19:02:11Z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0x010100736A3EE34ED5A040A2F071CA978E7189</vt:lpwstr>
  </property>
  <property fmtid="{D5CDD505-2E9C-101B-9397-08002B2CF9AE}" pid="3" name="MediaServiceImageTags">
    <vt:lpwstr/>
  </property>
</Properties>
</file>